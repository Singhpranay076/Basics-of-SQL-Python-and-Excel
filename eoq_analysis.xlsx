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ContentType="application/vnd.openxmlformats-officedocument.drawingml.chart+xml" PartName="/xl/charts/chart1.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ContentType="application/vnd.openxmlformats-officedocument.drawingml.chart+xml" PartName="/xl/charts/chart2.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EOQ " r:id="rId1" sheetId="1"/>
    <sheet name="Sheet3" r:id="rId2" sheetId="2"/>
  </sheets>
  <extLst/>
</workbook>
</file>

<file path=xl/sharedStrings.xml><?xml version="1.0" encoding="utf-8"?>
<sst xmlns="http://schemas.openxmlformats.org/spreadsheetml/2006/main" count="13" uniqueCount="13">
  <si>
    <t>Annual_Demand</t>
  </si>
  <si>
    <t>Ordering_Cost_perOrder</t>
  </si>
  <si>
    <t>Holding_Cost_perUnit/Year</t>
  </si>
  <si>
    <t>EOQ</t>
  </si>
  <si>
    <t>Number of Orders/Year</t>
  </si>
  <si>
    <t>Average Inventory</t>
  </si>
  <si>
    <t>Total Ordering Cost</t>
  </si>
  <si>
    <t>Total Holding Cost</t>
  </si>
  <si>
    <t>Total Inventory Cost</t>
  </si>
  <si>
    <t>Order Quantity (Q)</t>
  </si>
  <si>
    <t>Ordering Cost</t>
  </si>
  <si>
    <t>Holding Cost</t>
  </si>
  <si>
    <t>Total Cost</t>
  </si>
</sst>
</file>

<file path=xl/styles.xml><?xml version="1.0" encoding="utf-8"?>
<styleSheet xmlns="http://schemas.openxmlformats.org/spreadsheetml/2006/main">
  <numFmts count="1">
    <numFmt formatCode="#0.00" numFmtId="164"/>
  </numFmts>
  <fonts count="4">
    <font>
      <sz val="10"/>
      <color rgb="FF000000"/>
      <name val="Roboto"/>
    </font>
    <font>
      <sz val="10"/>
      <name val="Roboto"/>
    </font>
    <font>
      <b/>
      <sz val="10"/>
      <name val="Roboto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5">
    <xf borderId="0" fillId="0" fontId="0" numFmtId="0" xfId="0">
      <alignment vertical="top"/>
    </xf>
    <xf borderId="0" fillId="0" fontId="1" numFmtId="0" xfId="0">
      <alignment vertical="top"/>
    </xf>
    <xf borderId="0" fillId="0" fontId="1" numFmtId="164" xfId="0">
      <alignment vertical="top"/>
    </xf>
    <xf borderId="0" fillId="0" fontId="2" numFmtId="0" xfId="0">
      <alignment vertical="top"/>
    </xf>
    <xf borderId="0" fillId="0" fontId="3" numFmtId="0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charts/chart1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Chart Title</a:t>
            </a:r>
          </a:p>
        </c:rich>
      </c:tx>
    </c:title>
    <c:plotArea>
      <c:lineChart>
        <c:varyColors val="0"/>
        <c:ser>
          <c:idx val="0"/>
          <c:order val="0"/>
          <c:tx>
            <c:strRef>
              <c:f>'EOQ '!$A$18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marker>
            <c:symbol val="none"/>
          </c:marker>
          <c:val>
            <c:numRef>
              <c:f>'EOQ '!$A$19:$A$48</c:f>
              <c:numCache/>
            </c:numRef>
          </c:val>
          <c:smooth val="0"/>
        </c:ser>
        <c:ser>
          <c:idx val="1"/>
          <c:order val="1"/>
          <c:tx>
            <c:strRef>
              <c:f>'EOQ '!$B$18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marker>
            <c:symbol val="none"/>
          </c:marker>
          <c:val>
            <c:numRef>
              <c:f>'EOQ '!$B$19:$B$48</c:f>
              <c:numCache/>
            </c:numRef>
          </c:val>
          <c:smooth val="0"/>
        </c:ser>
        <c:ser>
          <c:idx val="2"/>
          <c:order val="2"/>
          <c:tx>
            <c:strRef>
              <c:f>'EOQ '!$C$18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marker>
            <c:symbol val="none"/>
          </c:marker>
          <c:val>
            <c:numRef>
              <c:f>'EOQ '!$C$19:$C$48</c:f>
              <c:numCache/>
            </c:numRef>
          </c:val>
          <c:smooth val="0"/>
        </c:ser>
        <c:ser>
          <c:idx val="3"/>
          <c:order val="3"/>
          <c:tx>
            <c:strRef>
              <c:f>'EOQ '!$D$18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marker>
            <c:symbol val="none"/>
          </c:marker>
          <c:val>
            <c:numRef>
              <c:f>'EOQ '!$D$19:$D$48</c:f>
              <c:numCache/>
            </c:numRef>
          </c:val>
          <c:smooth val="0"/>
        </c:ser>
        <c:axId val="584997876"/>
        <c:axId val="13453624"/>
      </c:lineChart>
      <c:catAx>
        <c:axId val="584997876"/>
        <c:scaling>
          <c:orientation val="minMax"/>
        </c:scaling>
        <c:delete val="0"/>
        <c:axPos val="b"/>
        <c:majorTickMark val="none"/>
        <c:minorTickMark val="none"/>
        <c:spPr/>
        <c:crossAx val="13453624"/>
      </c:catAx>
      <c:valAx>
        <c:axId val="13453624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majorTickMark val="none"/>
        <c:minorTickMark val="none"/>
        <c:tickLblPos val="nextTo"/>
        <c:spPr>
          <a:ln/>
        </c:spPr>
        <c:crossAx val="584997876"/>
      </c:valAx>
    </c:plotArea>
    <c:plotVisOnly val="1"/>
    <c:dispBlanksAs val="gap"/>
  </c:chart>
</c:chartSpace>
</file>

<file path=xl/charts/chart2.xml><?xml version="1.0" encoding="utf-8"?>
<c:chartSpace xmlns:a="http://schemas.openxmlformats.org/drawingml/2006/main" xmlns:c="http://schemas.openxmlformats.org/drawingml/2006/chart">
  <c:chart>
    <c:title>
      <c:tx>
        <c:rich>
          <a:bodyPr/>
          <a:lstStyle/>
          <a:p>
            <a:r>
              <a:t>Chart Title</a:t>
            </a:r>
          </a:p>
        </c:rich>
      </c:tx>
    </c:title>
    <c:plotArea>
      <c:lineChart>
        <c:varyColors val="0"/>
        <c:ser>
          <c:idx val="0"/>
          <c:order val="0"/>
          <c:tx>
            <c:strRef>
              <c:f>Sheet3!$B$1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marker>
            <c:symbol val="none"/>
          </c:marker>
          <c:cat>
            <c:strRef>
              <c:f>Sheet3!$A$2:$A$31</c:f>
            </c:strRef>
          </c:cat>
          <c:val>
            <c:numRef>
              <c:f>Sheet3!$B$2:$B$31</c:f>
              <c:numCache/>
            </c:numRef>
          </c:val>
          <c:smooth val="0"/>
        </c:ser>
        <c:ser>
          <c:idx val="1"/>
          <c:order val="1"/>
          <c:tx>
            <c:strRef>
              <c:f>Sheet3!$C$1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marker>
            <c:symbol val="none"/>
          </c:marker>
          <c:cat>
            <c:strRef>
              <c:f>Sheet3!$A$2:$A$31</c:f>
            </c:strRef>
          </c:cat>
          <c:val>
            <c:numRef>
              <c:f>Sheet3!$C$2:$C$31</c:f>
              <c:numCache/>
            </c:numRef>
          </c:val>
          <c:smooth val="0"/>
        </c:ser>
        <c:ser>
          <c:idx val="2"/>
          <c:order val="2"/>
          <c:tx>
            <c:strRef>
              <c:f>Sheet3!$D$1</c:f>
            </c:strRef>
          </c:tx>
          <c:dLbls>
            <c:showLegendKey val="0"/>
            <c:showVal val="true"/>
            <c:showCatName val="false"/>
            <c:showSerName val="false"/>
            <c:showPercent val="false"/>
            <c:showBubbleSize val="0"/>
          </c:dLbls>
          <c:marker>
            <c:symbol val="none"/>
          </c:marker>
          <c:cat>
            <c:strRef>
              <c:f>Sheet3!$A$2:$A$31</c:f>
            </c:strRef>
          </c:cat>
          <c:val>
            <c:numRef>
              <c:f>Sheet3!$D$2:$D$31</c:f>
              <c:numCache/>
            </c:numRef>
          </c:val>
          <c:smooth val="0"/>
        </c:ser>
        <c:axId val="814133688"/>
        <c:axId val="508534039"/>
      </c:lineChart>
      <c:catAx>
        <c:axId val="814133688"/>
        <c:scaling>
          <c:orientation val="minMax"/>
        </c:scaling>
        <c:delete val="0"/>
        <c:axPos val="b"/>
        <c:majorTickMark val="none"/>
        <c:minorTickMark val="none"/>
        <c:spPr/>
        <c:crossAx val="508534039"/>
      </c:catAx>
      <c:valAx>
        <c:axId val="508534039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majorTickMark val="none"/>
        <c:minorTickMark val="none"/>
        <c:tickLblPos val="nextTo"/>
        <c:spPr>
          <a:ln/>
        </c:spPr>
        <c:crossAx val="814133688"/>
      </c:valAx>
    </c:plotArea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Target="../charts/chart1.xml" Id="rId1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Target="../charts/chart2.xml" Id="rId1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4</xdr:col>
      <xdr:colOff>568960</xdr:colOff>
      <xdr:row>5</xdr:row>
      <xdr:rowOff>82296</xdr:rowOff>
    </xdr:from>
    <xdr:ext cx="5623560" cy="3860800"/>
    <xdr:graphicFrame>
      <xdr:nvGraphicFramePr>
        <xdr:cNvPr id="0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 xmlns:c="http://schemas.openxmlformats.org/drawingml/2006/chart" xmlns:mc="http://schemas.openxmlformats.org/markup-compatibility/2006">
  <xdr:oneCellAnchor>
    <xdr:from>
      <xdr:col>5</xdr:col>
      <xdr:colOff>142240</xdr:colOff>
      <xdr:row>7</xdr:row>
      <xdr:rowOff>0</xdr:rowOff>
    </xdr:from>
    <xdr:ext cx="5623560" cy="3860800"/>
    <xdr:graphicFrame>
      <xdr:nvGraphicFramePr>
        <xdr:cNvPr id="0" name="image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oneCellAnchor>
</xdr:wsDr>
</file>

<file path=xl/worksheets/_rels/sheet1.xml.rels><?xml version="1.0" encoding="UTF-8" standalone="yes"?><Relationships xmlns="http://schemas.openxmlformats.org/package/2006/relationships"><Relationship Target="../drawings/drawing1.xml" Id="rId1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Target="../drawings/drawing2.xml" Id="rId1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48"/>
  <sheetViews>
    <sheetView workbookViewId="0"/>
  </sheetViews>
  <sheetFormatPr defaultRowHeight="14.0" customHeight="1"/>
  <cols>
    <col min="1" max="1" width="22.25"/>
    <col min="2" max="2" width="11.92"/>
    <col min="3" max="3" width="11.12"/>
    <col min="4" max="4" width="9.14"/>
    <col min="5" max="5" width="19.21"/>
    <col min="6" max="6" width="15.36"/>
    <col min="7" max="7" width="16.29"/>
    <col min="8" max="8" width="15.5"/>
    <col min="9" max="9" width="16.82"/>
    <col min="10" max="11" width="13.24"/>
  </cols>
  <sheetData>
    <row r="1">
      <c r="A1" s="1" t="s">
        <v>0</v>
      </c>
      <c r="B1" s="1">
        <v>1000.0</v>
      </c>
      <c r="C1" s="1">
        <v>2000.0</v>
      </c>
      <c r="D1" s="1">
        <v>8000.0</v>
      </c>
      <c r="E1" s="1"/>
      <c r="F1" s="1"/>
      <c r="G1" s="1"/>
      <c r="H1" s="1"/>
      <c r="J1" s="1"/>
    </row>
    <row r="2">
      <c r="A2" s="1" t="s">
        <v>1</v>
      </c>
      <c r="B2" s="1">
        <v>10.0</v>
      </c>
      <c r="C2" s="1">
        <v>20.0</v>
      </c>
      <c r="D2" s="1">
        <v>80.0</v>
      </c>
      <c r="E2" s="1"/>
      <c r="F2" s="1"/>
      <c r="G2" s="1"/>
      <c r="H2" s="1"/>
      <c r="I2" s="1"/>
    </row>
    <row r="3">
      <c r="A3" s="1" t="s">
        <v>2</v>
      </c>
      <c r="B3">
        <v>2.0</v>
      </c>
      <c r="C3">
        <v>4.0</v>
      </c>
      <c r="D3">
        <v>16.0</v>
      </c>
    </row>
    <row r="4">
      <c r="B4" s="1"/>
    </row>
    <row r="5">
      <c r="A5" s="1" t="s">
        <v>3</v>
      </c>
      <c r="B5">
        <f>ROUND(SQRT(2*B1*B2/B3),2)</f>
        <v>100.0</v>
      </c>
      <c r="C5" s="2">
        <f>ROUND(SQRT(2*C1*C2/C3),2)</f>
        <v>141.42</v>
      </c>
      <c r="D5" s="2">
        <f>ROUND(SQRT(2*D1*D2/D3),2)</f>
        <v>282.84</v>
      </c>
    </row>
    <row r="6">
      <c r="A6" s="1" t="s">
        <v>4</v>
      </c>
      <c r="B6">
        <f>B1/B5</f>
        <v>10.0</v>
      </c>
      <c r="C6" s="2">
        <f>C1/C5</f>
        <v>14.142271248762</v>
      </c>
      <c r="D6" s="2">
        <f>D1/D5</f>
        <v>28.2845424975251</v>
      </c>
    </row>
    <row r="7">
      <c r="A7" s="1" t="s">
        <v>5</v>
      </c>
      <c r="B7">
        <f>B5/2</f>
        <v>50.0</v>
      </c>
      <c r="C7" s="2">
        <f>C5/2</f>
        <v>70.71</v>
      </c>
      <c r="D7" s="2">
        <f>D5/2</f>
        <v>141.42</v>
      </c>
    </row>
    <row r="8">
      <c r="A8" s="1" t="s">
        <v>6</v>
      </c>
      <c r="B8">
        <f t="shared" ref="B8:B9" si="9">B6*B2</f>
        <v>100.0</v>
      </c>
      <c r="C8" s="2">
        <f t="shared" ref="C8:C9" si="10">C6*C2</f>
        <v>282.84542497524</v>
      </c>
      <c r="D8" s="2">
        <f t="shared" ref="D8:D9" si="11">D6*D2</f>
        <v>2262.763399802</v>
      </c>
    </row>
    <row r="9">
      <c r="A9" s="1" t="s">
        <v>7</v>
      </c>
      <c r="B9">
        <f t="shared" si="9"/>
        <v>100.0</v>
      </c>
      <c r="C9" s="2">
        <f t="shared" si="10"/>
        <v>282.84</v>
      </c>
      <c r="D9" s="2">
        <f t="shared" si="11"/>
        <v>2262.72</v>
      </c>
    </row>
    <row r="10">
      <c r="A10" s="1" t="s">
        <v>8</v>
      </c>
      <c r="B10">
        <f>B8+B9</f>
        <v>200.0</v>
      </c>
      <c r="C10" s="2">
        <f>C8+C9</f>
        <v>565.68542497524</v>
      </c>
      <c r="D10" s="2">
        <f>D8+D9</f>
        <v>4525.483399802</v>
      </c>
    </row>
    <row r="12">
      <c r="D12" s="1"/>
    </row>
    <row r="13">
      <c r="C13" s="1"/>
      <c r="E13" s="1"/>
    </row>
    <row r="14">
      <c r="D14" s="1"/>
    </row>
    <row r="17">
      <c r="A17" s="3"/>
      <c r="B17" s="3"/>
      <c r="C17" s="3"/>
      <c r="D17" s="3"/>
    </row>
    <row r="18">
      <c r="A18" t="s">
        <v>9</v>
      </c>
      <c r="B18" t="s">
        <v>10</v>
      </c>
      <c r="C18" t="s">
        <v>11</v>
      </c>
      <c r="D18" t="s">
        <v>12</v>
      </c>
    </row>
    <row r="19">
      <c r="A19">
        <v>10.0</v>
      </c>
      <c r="B19" s="2">
        <f t="shared" ref="B19:B48" si="15">($B$1/A19)*$B$2</f>
        <v>1000.0</v>
      </c>
      <c r="C19">
        <f t="shared" ref="C19:C48" si="16">(A19/2)*$B$3</f>
        <v>10.0</v>
      </c>
      <c r="D19">
        <f t="shared" ref="D19:D48" si="17">B19+C19</f>
        <v>1010.0</v>
      </c>
    </row>
    <row r="20">
      <c r="A20">
        <v>20.0</v>
      </c>
      <c r="B20" s="2">
        <f t="shared" si="15"/>
        <v>500.0</v>
      </c>
      <c r="C20" s="1">
        <f t="shared" si="16"/>
        <v>20.0</v>
      </c>
      <c r="D20" s="1">
        <f t="shared" si="17"/>
        <v>520.0</v>
      </c>
    </row>
    <row r="21">
      <c r="A21" s="1">
        <v>30.0</v>
      </c>
      <c r="B21" s="2">
        <f t="shared" si="15"/>
        <v>333.333333333333</v>
      </c>
      <c r="C21" s="1">
        <f t="shared" si="16"/>
        <v>30.0</v>
      </c>
      <c r="D21" s="1">
        <f t="shared" si="17"/>
        <v>363.333333333333</v>
      </c>
    </row>
    <row r="22">
      <c r="A22" s="1">
        <v>40.0</v>
      </c>
      <c r="B22" s="2">
        <f t="shared" si="15"/>
        <v>250.0</v>
      </c>
      <c r="C22" s="1">
        <f t="shared" si="16"/>
        <v>40.0</v>
      </c>
      <c r="D22" s="1">
        <f t="shared" si="17"/>
        <v>290.0</v>
      </c>
    </row>
    <row r="23">
      <c r="A23" s="1">
        <v>50.0</v>
      </c>
      <c r="B23" s="2">
        <f t="shared" si="15"/>
        <v>200.0</v>
      </c>
      <c r="C23" s="1">
        <f t="shared" si="16"/>
        <v>50.0</v>
      </c>
      <c r="D23" s="1">
        <f t="shared" si="17"/>
        <v>250.0</v>
      </c>
    </row>
    <row r="24">
      <c r="A24" s="1">
        <v>60.0</v>
      </c>
      <c r="B24" s="2">
        <f t="shared" si="15"/>
        <v>166.666666666667</v>
      </c>
      <c r="C24" s="1">
        <f t="shared" si="16"/>
        <v>60.0</v>
      </c>
      <c r="D24" s="1">
        <f t="shared" si="17"/>
        <v>226.666666666667</v>
      </c>
    </row>
    <row r="25">
      <c r="A25" s="1">
        <v>70.0</v>
      </c>
      <c r="B25" s="2">
        <f t="shared" si="15"/>
        <v>142.857142857141</v>
      </c>
      <c r="C25" s="1">
        <f t="shared" si="16"/>
        <v>70.0</v>
      </c>
      <c r="D25" s="1">
        <f t="shared" si="17"/>
        <v>212.857142857141</v>
      </c>
    </row>
    <row r="26">
      <c r="A26" s="1">
        <v>80.0</v>
      </c>
      <c r="B26" s="2">
        <f t="shared" si="15"/>
        <v>125.0</v>
      </c>
      <c r="C26" s="1">
        <f t="shared" si="16"/>
        <v>80.0</v>
      </c>
      <c r="D26" s="1">
        <f t="shared" si="17"/>
        <v>205.0</v>
      </c>
    </row>
    <row r="27">
      <c r="A27" s="1">
        <v>90.0</v>
      </c>
      <c r="B27" s="2">
        <f t="shared" si="15"/>
        <v>111.111111111111</v>
      </c>
      <c r="C27" s="1">
        <f t="shared" si="16"/>
        <v>90.0</v>
      </c>
      <c r="D27" s="1">
        <f t="shared" si="17"/>
        <v>201.111111111111</v>
      </c>
    </row>
    <row r="28">
      <c r="A28" s="1">
        <v>100.0</v>
      </c>
      <c r="B28" s="2">
        <f t="shared" si="15"/>
        <v>100.0</v>
      </c>
      <c r="C28" s="1">
        <f t="shared" si="16"/>
        <v>100.0</v>
      </c>
      <c r="D28" s="1">
        <f t="shared" si="17"/>
        <v>200.0</v>
      </c>
    </row>
    <row r="29">
      <c r="A29" s="1">
        <v>110.0</v>
      </c>
      <c r="B29" s="2">
        <f t="shared" si="15"/>
        <v>90.9090909090909</v>
      </c>
      <c r="C29" s="1">
        <f t="shared" si="16"/>
        <v>110.0</v>
      </c>
      <c r="D29" s="1">
        <f t="shared" si="17"/>
        <v>200.90909090909</v>
      </c>
    </row>
    <row r="30">
      <c r="A30" s="1">
        <v>120.0</v>
      </c>
      <c r="B30" s="2">
        <f t="shared" si="15"/>
        <v>83.3333333333333</v>
      </c>
      <c r="C30" s="1">
        <f t="shared" si="16"/>
        <v>120.0</v>
      </c>
      <c r="D30" s="1">
        <f t="shared" si="17"/>
        <v>203.333333333333</v>
      </c>
    </row>
    <row r="31">
      <c r="A31" s="1">
        <v>130.0</v>
      </c>
      <c r="B31" s="2">
        <f t="shared" si="15"/>
        <v>76.9230769230769</v>
      </c>
      <c r="C31" s="1">
        <f t="shared" si="16"/>
        <v>130.0</v>
      </c>
      <c r="D31" s="1">
        <f t="shared" si="17"/>
        <v>206.923076923077</v>
      </c>
    </row>
    <row r="32">
      <c r="A32" s="1">
        <v>140.0</v>
      </c>
      <c r="B32" s="2">
        <f t="shared" si="15"/>
        <v>71.4285714285714</v>
      </c>
      <c r="C32" s="1">
        <f t="shared" si="16"/>
        <v>140.0</v>
      </c>
      <c r="D32" s="1">
        <f t="shared" si="17"/>
        <v>211.428571428571</v>
      </c>
    </row>
    <row r="33">
      <c r="A33" s="1">
        <v>150.0</v>
      </c>
      <c r="B33" s="2">
        <f t="shared" si="15"/>
        <v>66.6666666666667</v>
      </c>
      <c r="C33" s="1">
        <f t="shared" si="16"/>
        <v>150.0</v>
      </c>
      <c r="D33" s="1">
        <f t="shared" si="17"/>
        <v>216.666666666667</v>
      </c>
    </row>
    <row r="34">
      <c r="A34" s="1">
        <v>160.0</v>
      </c>
      <c r="B34" s="2">
        <f t="shared" si="15"/>
        <v>62.5</v>
      </c>
      <c r="C34" s="1">
        <f t="shared" si="16"/>
        <v>160.0</v>
      </c>
      <c r="D34" s="1">
        <f t="shared" si="17"/>
        <v>222.5</v>
      </c>
    </row>
    <row r="35">
      <c r="A35" s="1">
        <v>170.0</v>
      </c>
      <c r="B35" s="2">
        <f t="shared" si="15"/>
        <v>58.8235294117647</v>
      </c>
      <c r="C35" s="1">
        <f t="shared" si="16"/>
        <v>170.0</v>
      </c>
      <c r="D35" s="1">
        <f t="shared" si="17"/>
        <v>228.823529411764</v>
      </c>
    </row>
    <row r="36">
      <c r="A36" s="1">
        <v>180.0</v>
      </c>
      <c r="B36" s="2">
        <f t="shared" si="15"/>
        <v>55.5555555555556</v>
      </c>
      <c r="C36" s="1">
        <f t="shared" si="16"/>
        <v>180.0</v>
      </c>
      <c r="D36" s="1">
        <f t="shared" si="17"/>
        <v>235.555555555556</v>
      </c>
    </row>
    <row r="37">
      <c r="A37" s="1">
        <v>190.0</v>
      </c>
      <c r="B37" s="2">
        <f t="shared" si="15"/>
        <v>52.6315789473683</v>
      </c>
      <c r="C37" s="1">
        <f t="shared" si="16"/>
        <v>190.0</v>
      </c>
      <c r="D37" s="1">
        <f t="shared" si="17"/>
        <v>242.631578947368</v>
      </c>
    </row>
    <row r="38">
      <c r="A38" s="1">
        <v>200.0</v>
      </c>
      <c r="B38" s="2">
        <f t="shared" si="15"/>
        <v>50.0</v>
      </c>
      <c r="C38" s="1">
        <f t="shared" si="16"/>
        <v>200.0</v>
      </c>
      <c r="D38" s="1">
        <f t="shared" si="17"/>
        <v>250.0</v>
      </c>
    </row>
    <row r="39">
      <c r="A39" s="1">
        <v>210.0</v>
      </c>
      <c r="B39" s="2">
        <f t="shared" si="15"/>
        <v>47.6190476190476</v>
      </c>
      <c r="C39" s="1">
        <f t="shared" si="16"/>
        <v>210.0</v>
      </c>
      <c r="D39" s="1">
        <f t="shared" si="17"/>
        <v>257.61904761904</v>
      </c>
    </row>
    <row r="40">
      <c r="A40" s="1">
        <v>220.0</v>
      </c>
      <c r="B40" s="2">
        <f t="shared" si="15"/>
        <v>45.4545454545453</v>
      </c>
      <c r="C40" s="1">
        <f t="shared" si="16"/>
        <v>220.0</v>
      </c>
      <c r="D40" s="1">
        <f t="shared" si="17"/>
        <v>265.454545454545</v>
      </c>
    </row>
    <row r="41">
      <c r="A41" s="1">
        <v>230.0</v>
      </c>
      <c r="B41" s="2">
        <f t="shared" si="15"/>
        <v>43.4782608695652</v>
      </c>
      <c r="C41" s="1">
        <f t="shared" si="16"/>
        <v>230.0</v>
      </c>
      <c r="D41" s="1">
        <f t="shared" si="17"/>
        <v>273.478260869565</v>
      </c>
    </row>
    <row r="42">
      <c r="A42" s="1">
        <v>240.0</v>
      </c>
      <c r="B42" s="2">
        <f t="shared" si="15"/>
        <v>41.6666666666667</v>
      </c>
      <c r="C42" s="1">
        <f t="shared" si="16"/>
        <v>240.0</v>
      </c>
      <c r="D42" s="1">
        <f t="shared" si="17"/>
        <v>281.666666666667</v>
      </c>
    </row>
    <row r="43">
      <c r="A43" s="1">
        <v>250.0</v>
      </c>
      <c r="B43" s="2">
        <f t="shared" si="15"/>
        <v>40.0</v>
      </c>
      <c r="C43" s="1">
        <f t="shared" si="16"/>
        <v>250.0</v>
      </c>
      <c r="D43" s="1">
        <f t="shared" si="17"/>
        <v>290.0</v>
      </c>
    </row>
    <row r="44">
      <c r="A44" s="1">
        <v>260.0</v>
      </c>
      <c r="B44" s="2">
        <f t="shared" si="15"/>
        <v>38.4615384615384</v>
      </c>
      <c r="C44" s="1">
        <f t="shared" si="16"/>
        <v>260.0</v>
      </c>
      <c r="D44" s="1">
        <f t="shared" si="17"/>
        <v>298.461538461538</v>
      </c>
    </row>
    <row r="45">
      <c r="A45" s="1">
        <v>270.0</v>
      </c>
      <c r="B45" s="2">
        <f t="shared" si="15"/>
        <v>37.037037037037</v>
      </c>
      <c r="C45" s="1">
        <f t="shared" si="16"/>
        <v>270.0</v>
      </c>
      <c r="D45" s="1">
        <f t="shared" si="17"/>
        <v>307.037037037037</v>
      </c>
    </row>
    <row r="46">
      <c r="A46" s="1">
        <v>280.0</v>
      </c>
      <c r="B46" s="2">
        <f t="shared" si="15"/>
        <v>35.7142857142857</v>
      </c>
      <c r="C46" s="1">
        <f t="shared" si="16"/>
        <v>280.0</v>
      </c>
      <c r="D46" s="1">
        <f t="shared" si="17"/>
        <v>315.714285714286</v>
      </c>
    </row>
    <row r="47">
      <c r="A47" s="1">
        <v>290.0</v>
      </c>
      <c r="B47" s="2">
        <f t="shared" si="15"/>
        <v>34.4827586206897</v>
      </c>
      <c r="C47" s="1">
        <f t="shared" si="16"/>
        <v>290.0</v>
      </c>
      <c r="D47" s="1">
        <f t="shared" si="17"/>
        <v>324.48275862069</v>
      </c>
    </row>
    <row r="48">
      <c r="A48" s="1">
        <v>300.0</v>
      </c>
      <c r="B48" s="2">
        <f t="shared" si="15"/>
        <v>33.3333333333333</v>
      </c>
      <c r="C48" s="1">
        <f t="shared" si="16"/>
        <v>300.0</v>
      </c>
      <c r="D48" s="1">
        <f t="shared" si="17"/>
        <v>333.333333333333</v>
      </c>
    </row>
  </sheetData>
  <drawing r:id="rId1"/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31"/>
  <sheetViews>
    <sheetView workbookViewId="0"/>
  </sheetViews>
  <sheetFormatPr defaultRowHeight="14.0" customHeight="1"/>
  <cols>
    <col min="1" max="1" width="19.47"/>
    <col min="2" max="2" width="16.29"/>
    <col min="3" max="3" width="15.5"/>
    <col min="4" max="4" width="16.82"/>
    <col min="5" max="5" width="13.24"/>
  </cols>
  <sheetData>
    <row r="1" ht="14.0">
      <c r="A1" s="4" t="s">
        <v>9</v>
      </c>
      <c r="B1" s="1" t="s">
        <v>6</v>
      </c>
      <c r="C1" s="1" t="s">
        <v>7</v>
      </c>
      <c r="D1" s="1" t="s">
        <v>8</v>
      </c>
    </row>
    <row r="2">
      <c r="A2" s="1">
        <v>100.0</v>
      </c>
      <c r="B2" s="2">
        <v>34666.6</v>
      </c>
      <c r="C2" s="1">
        <v>1000.0</v>
      </c>
      <c r="D2" s="2">
        <v>35666.6</v>
      </c>
    </row>
    <row r="3">
      <c r="A3" s="1">
        <v>200.0</v>
      </c>
      <c r="B3" s="2">
        <v>17333.3</v>
      </c>
      <c r="C3" s="1">
        <v>2000.0</v>
      </c>
      <c r="D3" s="2">
        <v>19333.3</v>
      </c>
    </row>
    <row r="4">
      <c r="A4" s="1">
        <v>300.0</v>
      </c>
      <c r="B4" s="2">
        <v>11555.5333333333</v>
      </c>
      <c r="C4" s="1">
        <v>3000.0</v>
      </c>
      <c r="D4" s="2">
        <v>14555.5333333333</v>
      </c>
    </row>
    <row r="5">
      <c r="A5" s="1">
        <v>400.0</v>
      </c>
      <c r="B5" s="2">
        <v>8666.65</v>
      </c>
      <c r="C5" s="1">
        <v>4000.0</v>
      </c>
      <c r="D5" s="2">
        <v>12666.65</v>
      </c>
    </row>
    <row r="6">
      <c r="A6" s="1">
        <v>500.0</v>
      </c>
      <c r="B6" s="2">
        <v>6933.32</v>
      </c>
      <c r="C6" s="1">
        <v>5000.0</v>
      </c>
      <c r="D6" s="2">
        <v>11933.32</v>
      </c>
    </row>
    <row r="7">
      <c r="A7" s="1">
        <v>600.0</v>
      </c>
      <c r="B7" s="2">
        <v>5777.76666666666</v>
      </c>
      <c r="C7" s="1">
        <v>6000.0</v>
      </c>
      <c r="D7" s="2">
        <v>11777.7666666667</v>
      </c>
    </row>
    <row r="8">
      <c r="A8" s="1">
        <v>700.0</v>
      </c>
      <c r="B8" s="2">
        <v>4952.37142857142</v>
      </c>
      <c r="C8" s="1">
        <v>7000.0</v>
      </c>
      <c r="D8" s="2">
        <v>11952.3714285714</v>
      </c>
    </row>
    <row r="9">
      <c r="A9" s="1">
        <v>800.0</v>
      </c>
      <c r="B9" s="2">
        <v>4333.325</v>
      </c>
      <c r="C9" s="1">
        <v>8000.0</v>
      </c>
      <c r="D9" s="2">
        <v>12333.325</v>
      </c>
    </row>
    <row r="10">
      <c r="A10" s="1">
        <v>900.0</v>
      </c>
      <c r="B10" s="2">
        <v>3851.84444444444</v>
      </c>
      <c r="C10" s="1">
        <v>9000.0</v>
      </c>
      <c r="D10" s="2">
        <v>12851.8444444444</v>
      </c>
    </row>
    <row r="11">
      <c r="A11" s="1">
        <v>1000.0</v>
      </c>
      <c r="B11" s="2">
        <v>3466.66</v>
      </c>
      <c r="C11" s="1">
        <v>10000.0</v>
      </c>
      <c r="D11" s="2">
        <v>13466.66</v>
      </c>
    </row>
    <row r="12">
      <c r="A12" s="1">
        <v>1100.0</v>
      </c>
      <c r="B12" s="2">
        <v>3151.50909090909</v>
      </c>
      <c r="C12" s="1">
        <v>11000.0</v>
      </c>
      <c r="D12" s="2">
        <v>14151.509090909</v>
      </c>
    </row>
    <row r="13">
      <c r="A13" s="1">
        <v>1200.0</v>
      </c>
      <c r="B13" s="2">
        <v>2888.88333333362</v>
      </c>
      <c r="C13" s="1">
        <v>12000.0</v>
      </c>
      <c r="D13" s="2">
        <v>14888.8833333336</v>
      </c>
    </row>
    <row r="14">
      <c r="A14" s="1">
        <v>1300.0</v>
      </c>
      <c r="B14" s="2">
        <v>2666.66153846153</v>
      </c>
      <c r="C14" s="1">
        <v>13000.0</v>
      </c>
      <c r="D14" s="2">
        <v>15666.6615384615</v>
      </c>
    </row>
    <row r="15">
      <c r="A15" s="1">
        <v>1400.0</v>
      </c>
      <c r="B15" s="2">
        <v>2476.18571428571</v>
      </c>
      <c r="C15" s="1">
        <v>14000.0</v>
      </c>
      <c r="D15" s="2">
        <v>16476.1857142857</v>
      </c>
    </row>
    <row r="16">
      <c r="A16" s="1">
        <v>1500.0</v>
      </c>
      <c r="B16" s="2">
        <v>2311.10666666666</v>
      </c>
      <c r="C16" s="1">
        <v>15000.0</v>
      </c>
      <c r="D16" s="2">
        <v>17311.1066666667</v>
      </c>
    </row>
    <row r="17">
      <c r="A17" s="1">
        <v>1600.0</v>
      </c>
      <c r="B17" s="2">
        <v>2166.6625</v>
      </c>
      <c r="C17" s="1">
        <v>16000.0</v>
      </c>
      <c r="D17" s="2">
        <v>18166.6625</v>
      </c>
    </row>
    <row r="18">
      <c r="A18" s="1">
        <v>1700.0</v>
      </c>
      <c r="B18" s="2">
        <v>2039.211764706</v>
      </c>
      <c r="C18" s="1">
        <v>17000.0</v>
      </c>
      <c r="D18" s="2">
        <v>19039.211764706</v>
      </c>
    </row>
    <row r="19">
      <c r="A19" s="1">
        <v>1800.0</v>
      </c>
      <c r="B19" s="2">
        <v>1925.92222222221</v>
      </c>
      <c r="C19" s="1">
        <v>18000.0</v>
      </c>
      <c r="D19" s="2">
        <v>19925.9222222222</v>
      </c>
    </row>
    <row r="20">
      <c r="A20" s="1">
        <v>1900.0</v>
      </c>
      <c r="B20" s="2">
        <v>1824.55789473684</v>
      </c>
      <c r="C20" s="1">
        <v>19000.0</v>
      </c>
      <c r="D20" s="2">
        <v>20824.5578947368</v>
      </c>
    </row>
    <row r="21">
      <c r="A21" s="1">
        <v>2000.0</v>
      </c>
      <c r="B21" s="2">
        <v>1733.33</v>
      </c>
      <c r="C21" s="1">
        <v>20000.0</v>
      </c>
      <c r="D21" s="2">
        <v>21733.33</v>
      </c>
    </row>
    <row r="22">
      <c r="A22" s="1">
        <v>2100.0</v>
      </c>
      <c r="B22" s="2">
        <v>1650.79047619047</v>
      </c>
      <c r="C22" s="1">
        <v>21000.0</v>
      </c>
      <c r="D22" s="2">
        <v>22650.7904761904</v>
      </c>
    </row>
    <row r="23">
      <c r="A23" s="1">
        <v>2200.0</v>
      </c>
      <c r="B23" s="2">
        <v>1575.75454545453</v>
      </c>
      <c r="C23" s="1">
        <v>22000.0</v>
      </c>
      <c r="D23" s="2">
        <v>23575.7545454545</v>
      </c>
    </row>
    <row r="24">
      <c r="A24" s="1">
        <v>2300.0</v>
      </c>
      <c r="B24" s="2">
        <v>1507.24347826087</v>
      </c>
      <c r="C24" s="1">
        <v>23000.0</v>
      </c>
      <c r="D24" s="2">
        <v>24507.24347826</v>
      </c>
    </row>
    <row r="25">
      <c r="A25" s="1">
        <v>2400.0</v>
      </c>
      <c r="B25" s="2">
        <v>1444.44166666666</v>
      </c>
      <c r="C25" s="1">
        <v>24000.0</v>
      </c>
      <c r="D25" s="2">
        <v>25444.4416666667</v>
      </c>
    </row>
    <row r="26">
      <c r="A26" s="1">
        <v>2500.0</v>
      </c>
      <c r="B26" s="2">
        <v>1386.664</v>
      </c>
      <c r="C26" s="1">
        <v>25000.0</v>
      </c>
      <c r="D26" s="2">
        <v>26386.664</v>
      </c>
    </row>
    <row r="27">
      <c r="A27" s="1">
        <v>2600.0</v>
      </c>
      <c r="B27" s="2">
        <v>1333.33076923076</v>
      </c>
      <c r="C27" s="1">
        <v>26000.0</v>
      </c>
      <c r="D27" s="2">
        <v>27333.33076923</v>
      </c>
    </row>
    <row r="28">
      <c r="A28" s="1">
        <v>2700.0</v>
      </c>
      <c r="B28" s="2">
        <v>1283.94814814814</v>
      </c>
      <c r="C28" s="1">
        <v>27000.0</v>
      </c>
      <c r="D28" s="2">
        <v>28283.9481481481</v>
      </c>
    </row>
    <row r="29">
      <c r="A29" s="1">
        <v>2800.0</v>
      </c>
      <c r="B29" s="2">
        <v>1238.09285714212</v>
      </c>
      <c r="C29" s="1">
        <v>28000.0</v>
      </c>
      <c r="D29" s="2">
        <v>29238.0928571421</v>
      </c>
    </row>
    <row r="30">
      <c r="A30" s="1">
        <v>2900.0</v>
      </c>
      <c r="B30" s="2">
        <v>1195.4</v>
      </c>
      <c r="C30" s="1">
        <v>29000.0</v>
      </c>
      <c r="D30" s="2">
        <v>30195.4</v>
      </c>
    </row>
    <row r="31">
      <c r="A31" s="1">
        <v>3000.0</v>
      </c>
      <c r="B31" s="2">
        <v>1155.55333333333</v>
      </c>
      <c r="C31" s="1">
        <v>30000.0</v>
      </c>
      <c r="D31" s="2">
        <v>31155.5533333333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2026-04-29T03:29:37Z</dcterms:created>
</cp:coreProperties>
</file>