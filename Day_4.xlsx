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" r:id="rId1" sheetId="1"/>
    <sheet name="Sheet2" r:id="rId2" sheetId="2"/>
  </sheets>
  <pivotCaches>
    <pivotCache cacheId="1" r:id="rId3"/>
  </pivotCaches>
  <extLst/>
</workbook>
</file>

<file path=xl/sharedStrings.xml><?xml version="1.0" encoding="utf-8"?>
<sst xmlns="http://schemas.openxmlformats.org/spreadsheetml/2006/main" count="41" uniqueCount="41">
  <si>
    <t>order_id</t>
  </si>
  <si>
    <t>product_id</t>
  </si>
  <si>
    <t>region</t>
  </si>
  <si>
    <t>revenue</t>
  </si>
  <si>
    <t>product_category</t>
  </si>
  <si>
    <t>order_type</t>
  </si>
  <si>
    <t>%pct contribution</t>
  </si>
  <si>
    <t>Region_total</t>
  </si>
  <si>
    <t>Category + Region total</t>
  </si>
  <si>
    <t>PRT03</t>
  </si>
  <si>
    <t>New Delhi</t>
  </si>
  <si>
    <t>Home Decor</t>
  </si>
  <si>
    <t>High</t>
  </si>
  <si>
    <t>PRT09</t>
  </si>
  <si>
    <t>Noida</t>
  </si>
  <si>
    <t>Electronics Gadgets</t>
  </si>
  <si>
    <t>Jammu City</t>
  </si>
  <si>
    <t>Beverages and Snacks</t>
  </si>
  <si>
    <t>PRT01</t>
  </si>
  <si>
    <t>Hyderabad</t>
  </si>
  <si>
    <t>Furnitures</t>
  </si>
  <si>
    <t>PRT02</t>
  </si>
  <si>
    <t>Chandigarh</t>
  </si>
  <si>
    <t>Home Appliances</t>
  </si>
  <si>
    <t>Low</t>
  </si>
  <si>
    <t>Fresh Vegetables</t>
  </si>
  <si>
    <t>PRT07</t>
  </si>
  <si>
    <t>Lucknow</t>
  </si>
  <si>
    <t>Sauces</t>
  </si>
  <si>
    <t>PRT06</t>
  </si>
  <si>
    <t>PRT08</t>
  </si>
  <si>
    <t>Ahmedabad</t>
  </si>
  <si>
    <t>PRT05</t>
  </si>
  <si>
    <t>Bombay</t>
  </si>
  <si>
    <t>Panaji</t>
  </si>
  <si>
    <t>Plastic Toys</t>
  </si>
  <si>
    <t>Kitchen Tools</t>
  </si>
  <si>
    <t>PRT10</t>
  </si>
  <si>
    <t>PRT04</t>
  </si>
  <si>
    <t>Spices</t>
  </si>
  <si>
    <t>Gangtok</t>
  </si>
</sst>
</file>

<file path=xl/styles.xml><?xml version="1.0" encoding="utf-8"?>
<styleSheet xmlns="http://schemas.openxmlformats.org/spreadsheetml/2006/main">
  <fonts count="3">
    <font>
      <sz val="11"/>
      <color rgb="FF000000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4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  <xf borderId="0" fillId="0" fontId="1" numFmtId="9" xfId="0">
      <alignment vertical="bottom"/>
    </xf>
  </cellXfs>
  <cellStyles count="1">
    <cellStyle name="Normal" xfId="0" builtinId="0" customBuiltin="1"/>
  </cellStyles>
  <dxfs count="5">
    <dxf>
      <fill>
        <patternFill patternType="solid">
          <fgColor rgb="FFD6EAF8"/>
          <bgColor rgb="FFD6EAF8"/>
        </patternFill>
      </fill>
      <border>
        <left/>
        <right/>
        <top/>
        <bottom/>
        <diagonal/>
        <vertical style="thin">
          <color rgb="FFFFFFFF"/>
        </vertical>
        <horizontal style="thin">
          <color rgb="FFFFFFFF"/>
        </horizontal>
      </border>
    </dxf>
    <dxf>
      <font>
        <b/>
        <color rgb="FFFFFFFF"/>
      </font>
      <fill>
        <patternFill patternType="solid">
          <fgColor rgb="FF3498DB"/>
          <bgColor rgb="FF3498DB"/>
        </patternFill>
      </fill>
      <border>
        <left/>
        <right/>
        <top/>
        <bottom style="thick">
          <color rgb="FFFFFFFF"/>
        </bottom>
        <diagonal/>
        <vertical/>
        <horizontal/>
      </border>
    </dxf>
    <dxf>
      <font>
        <b/>
        <color rgb="FFFFFFFF"/>
      </font>
      <fill>
        <patternFill patternType="solid">
          <fgColor rgb="FF3498DB"/>
          <bgColor rgb="FF3498DB"/>
        </patternFill>
      </fill>
      <border>
        <left/>
        <right/>
        <top style="thick">
          <color rgb="FFFFFFFF"/>
        </top>
        <bottom/>
        <diagonal/>
        <vertical/>
        <horizontal/>
      </border>
    </dxf>
    <dxf>
      <fill>
        <patternFill patternType="solid">
          <fgColor rgb="FFAED6F1"/>
          <bgColor rgb="FFAED6F1"/>
        </patternFill>
      </fill>
    </dxf>
    <dxf>
      <font>
        <b/>
        <color rgb="FFFFFFFF"/>
      </font>
      <fill>
        <patternFill patternType="solid">
          <fgColor rgb="FF3498DB"/>
          <bgColor rgb="FF3498DB"/>
        </patternFill>
      </fill>
    </dxf>
  </dxfs>
  <tableStyles count="1" defaultPivotStyle="PivotStyleLight16" defaultTableStyle="TableStyleMedium2">
    <tableStyle name="Default Style" pivot="0" count="7">
      <tableStyleElement type="wholeTable" dxfId="0"/>
      <tableStyleElement type="headerRow" dxfId="1"/>
      <tableStyleElement type="totalRow" dxfId="2"/>
      <tableStyleElement type="firstColumnStripe" dxfId="3"/>
      <tableStyleElement type="firstRowStripe" dxfId="3"/>
      <tableStyleElement type="firstColumn" dxfId="4"/>
      <tableStyleElement type="la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pivotCache/pivotCacheDefinition1.xml" Id="rId3" Type="http://schemas.openxmlformats.org/officeDocument/2006/relationships/pivotCacheDefinition"/><Relationship Target="sharedStrings.xml" Id="rId4" Type="http://schemas.openxmlformats.org/officeDocument/2006/relationships/sharedStrings"/><Relationship Target="styles.xml" Id="rId5" Type="http://schemas.openxmlformats.org/officeDocument/2006/relationships/style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name="Table1"/>
  </cacheSource>
  <cacheFields count="9">
    <cacheField name="order_id">
      <sharedItems/>
    </cacheField>
    <cacheField name="product_id">
      <sharedItems/>
    </cacheField>
    <cacheField name="region">
      <sharedItems>
        <s v="Ahmedabad"/>
        <s v="Bombay"/>
        <s v="Chandigarh"/>
        <s v="Gangtok"/>
        <s v="Hyderabad"/>
        <s v="Jammu City"/>
        <s v="Lucknow"/>
        <s v="New Delhi"/>
        <s v="Noida"/>
        <s v="Panaji"/>
      </sharedItems>
    </cacheField>
    <cacheField name="revenue"/>
    <cacheField name="product_category">
      <sharedItems>
        <s v="Beverages and Snacks"/>
        <s v="Electronics Gadgets"/>
        <s v="Fresh Vegetables"/>
        <s v="Furnitures"/>
        <s v="Home Appliances"/>
        <s v="Home Decor"/>
        <s v="Kitchen Tools"/>
        <s v="Plastic Toys"/>
        <s v="Sauces"/>
        <s v="Spices"/>
      </sharedItems>
    </cacheField>
    <cacheField name="order_type">
      <sharedItems/>
    </cacheField>
    <cacheField name="%pct contribution">
      <sharedItems/>
    </cacheField>
    <cacheField name="Region_total">
      <sharedItems/>
    </cacheField>
    <cacheField name="Category + Region total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Tables/_rels/pivotTable1.xml.rels><?xml version="1.0" encoding="UTF-8" standalone="yes"?><Relationships xmlns="http://schemas.openxmlformats.org/package/2006/relationships"><Relationship Target="../pivotCache/pivotCacheDefinition1.xml" Id="rId1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2" cacheId="1" dataCaption="" updatedVersion="8" createdVersion="8" compact="0" compactData="0">
  <location ref="A1:L13" firstHeaderRow="1" firstDataRow="2" firstDataCol="1"/>
  <pivotFields count="9">
    <pivotField showAll="0"/>
    <pivotField showAll="0"/>
    <pivotField compact="0" outline="0" subtotalTop="0" showAll="0" multipleItemSelectionAllowed="1" axis="axisCol" sortType="ascending">
      <items count="10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 multipleItemSelectionAllowed="1" dataField="1" sortType="ascending">
      <items count="0">
        <item t="default"/>
      </items>
    </pivotField>
    <pivotField compact="0" outline="0" subtotalTop="0" showAll="0" multipleItemSelectionAllowed="1" axis="axisRow" sortType="ascending">
      <items count="10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4"/>
  </rowFields>
  <colFields count="1">
    <field x="2"/>
  </colFields>
  <dataFields count="1">
    <dataField fld="3" name="Sum of revenue" subtotal="sum"/>
  </dataFields>
</pivotTableDefinition>
</file>

<file path=xl/tables/table1.xml><?xml version="1.0" encoding="utf-8"?>
<table xmlns="http://schemas.openxmlformats.org/spreadsheetml/2006/main" id="1" name="Table1" displayName="Table1" ref="A1:I101">
  <autoFilter ref="A1:I101"/>
  <tableColumns count="9">
    <tableColumn id="1" name="order_id" totalsRowLabel="Total"/>
    <tableColumn id="2" name="product_id"/>
    <tableColumn id="3" name="region"/>
    <tableColumn id="4" name="revenue"/>
    <tableColumn id="5" name="product_category"/>
    <tableColumn id="6" name="order_type" totalsRowFunction="custom">
      <totalsRowFormula>SUBTOTAL(109,Table1[order_type])</totalsRowFormula>
    </tableColumn>
    <tableColumn id="7" name="%pct contribution">
      <calculatedColumnFormula>(@Table1[Category + Region total]/Table1[[#This Row],[Region_total]])*100</calculatedColumnFormula>
    </tableColumn>
    <tableColumn id="8" name="Region_total">
      <calculatedColumnFormula>SUMIFS(Table1[revenue],Table1[region],Table1[[#This Row],[region]])</calculatedColumnFormula>
    </tableColumn>
    <tableColumn id="9" name="Category + Region total">
      <calculatedColumnFormula>SUMIFS(Table1[revenue],Table1[region],Table1[[#This Row],[region]],Table1[product_category],Table1[[#This Row],[product_category]])</calculatedColumnFormula>
    </tableColumn>
  </tableColumns>
  <tableStyleInfo name="Default Styl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Target="../tables/table1.xml" Id="rId1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Target="../pivotTables/pivotTable1.xml" Id="rId1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01"/>
  <sheetViews>
    <sheetView workbookViewId="0"/>
  </sheetViews>
  <sheetFormatPr defaultRowHeight="14.0" customHeight="1"/>
  <cols>
    <col min="1" max="1" width="8.61"/>
    <col min="2" max="2" width="9.67"/>
    <col min="3" max="3" width="10.73"/>
    <col min="4" max="4" width="9.67"/>
    <col min="5" max="5" width="23.18"/>
    <col min="6" max="6" width="10.86"/>
    <col min="7" max="7" width="19.07"/>
    <col min="8" max="8" width="21.86"/>
    <col min="9" max="9" width="10.86"/>
    <col min="10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1.0</v>
      </c>
      <c r="B2" s="1" t="s">
        <v>9</v>
      </c>
      <c r="C2" s="1" t="s">
        <v>10</v>
      </c>
      <c r="D2" s="1">
        <v>3538.0</v>
      </c>
      <c r="E2" s="1" t="s">
        <v>11</v>
      </c>
      <c r="F2" t="s">
        <f t="shared" ref="F2:F101" si="0">IF(D2&gt;2000,"High","Low")</f>
        <v>12</v>
      </c>
      <c r="G2">
        <f>(@Table1[Category + Region total]/Table1[[#This Row],[Region_total]])*100</f>
        <v>25.3248574366644</v>
      </c>
      <c r="H2">
        <f>SUMIFS(Table1[revenue],Table1[region],Table1[[#This Row],[region]])</f>
        <v>32091.0</v>
      </c>
      <c r="I2">
        <f>SUMIFS(Table1[revenue],Table1[region],Table1[[#This Row],[region]],Table1[product_category],Table1[[#This Row],[product_category]])</f>
        <v>8127.0</v>
      </c>
    </row>
    <row r="3">
      <c r="A3" s="1">
        <v>2.0</v>
      </c>
      <c r="B3" s="1" t="s">
        <v>13</v>
      </c>
      <c r="C3" s="1" t="s">
        <v>14</v>
      </c>
      <c r="D3" s="1">
        <v>2574.0</v>
      </c>
      <c r="E3" s="1" t="s">
        <v>15</v>
      </c>
      <c r="F3" s="2" t="s">
        <f t="shared" si="0"/>
        <v>12</v>
      </c>
      <c r="G3">
        <f>(@Table1[Category + Region total]/Table1[[#This Row],[Region_total]])*100</f>
        <v>29.7144433714995</v>
      </c>
      <c r="H3" s="2">
        <f>SUMIFS(Table1[revenue],Table1[region],Table1[[#This Row],[region]])</f>
        <v>28996.0</v>
      </c>
      <c r="I3">
        <f>SUMIFS(Table1[revenue],Table1[region],Table1[[#This Row],[region]],Table1[product_category],Table1[[#This Row],[product_category]])</f>
        <v>8616.0</v>
      </c>
    </row>
    <row r="4">
      <c r="A4" s="1">
        <v>3.0</v>
      </c>
      <c r="B4" s="1" t="s">
        <v>13</v>
      </c>
      <c r="C4" s="1" t="s">
        <v>16</v>
      </c>
      <c r="D4" s="1">
        <v>2155.0</v>
      </c>
      <c r="E4" s="1" t="s">
        <v>17</v>
      </c>
      <c r="F4" s="2" t="s">
        <f t="shared" si="0"/>
        <v>12</v>
      </c>
      <c r="G4">
        <f>(@Table1[Category + Region total]/Table1[[#This Row],[Region_total]])*100</f>
        <v>22.9077359361603</v>
      </c>
      <c r="H4" s="2">
        <f>SUMIFS(Table1[revenue],Table1[region],Table1[[#This Row],[region]])</f>
        <v>30326.0</v>
      </c>
      <c r="I4">
        <f>SUMIFS(Table1[revenue],Table1[region],Table1[[#This Row],[region]],Table1[product_category],Table1[[#This Row],[product_category]])</f>
        <v>6947.0</v>
      </c>
    </row>
    <row r="5">
      <c r="A5" s="1">
        <v>4.0</v>
      </c>
      <c r="B5" s="1" t="s">
        <v>18</v>
      </c>
      <c r="C5" s="1" t="s">
        <v>10</v>
      </c>
      <c r="D5" s="1">
        <v>4589.0</v>
      </c>
      <c r="E5" s="1" t="s">
        <v>11</v>
      </c>
      <c r="F5" s="2" t="s">
        <f t="shared" si="0"/>
        <v>12</v>
      </c>
      <c r="G5">
        <f>(@Table1[Category + Region total]/Table1[[#This Row],[Region_total]])*100</f>
        <v>25.3248574366644</v>
      </c>
      <c r="H5" s="2">
        <f>SUMIFS(Table1[revenue],Table1[region],Table1[[#This Row],[region]])</f>
        <v>32091.0</v>
      </c>
      <c r="I5">
        <f>SUMIFS(Table1[revenue],Table1[region],Table1[[#This Row],[region]],Table1[product_category],Table1[[#This Row],[product_category]])</f>
        <v>8127.0</v>
      </c>
    </row>
    <row r="6">
      <c r="A6" s="1">
        <v>5.0</v>
      </c>
      <c r="B6" s="1" t="s">
        <v>13</v>
      </c>
      <c r="C6" s="1" t="s">
        <v>19</v>
      </c>
      <c r="D6" s="1">
        <v>3728.0</v>
      </c>
      <c r="E6" s="1" t="s">
        <v>20</v>
      </c>
      <c r="F6" s="2" t="s">
        <f t="shared" si="0"/>
        <v>12</v>
      </c>
      <c r="G6">
        <f>(@Table1[Category + Region total]/Table1[[#This Row],[Region_total]])*100</f>
        <v>11.0965591141802</v>
      </c>
      <c r="H6" s="2">
        <f>SUMIFS(Table1[revenue],Table1[region],Table1[[#This Row],[region]])</f>
        <v>33596.0</v>
      </c>
      <c r="I6">
        <f>SUMIFS(Table1[revenue],Table1[region],Table1[[#This Row],[region]],Table1[product_category],Table1[[#This Row],[product_category]])</f>
        <v>3728.0</v>
      </c>
    </row>
    <row r="7">
      <c r="A7" s="1">
        <v>6.0</v>
      </c>
      <c r="B7" s="1" t="s">
        <v>21</v>
      </c>
      <c r="C7" s="1" t="s">
        <v>22</v>
      </c>
      <c r="D7" s="1">
        <v>1437.0</v>
      </c>
      <c r="E7" s="1" t="s">
        <v>23</v>
      </c>
      <c r="F7" s="2" t="s">
        <f t="shared" si="0"/>
        <v>24</v>
      </c>
      <c r="G7">
        <f>(@Table1[Category + Region total]/Table1[[#This Row],[Region_total]])*100</f>
        <v>18.090932800139</v>
      </c>
      <c r="H7" s="2">
        <f>SUMIFS(Table1[revenue],Table1[region],Table1[[#This Row],[region]])</f>
        <v>23006.0</v>
      </c>
      <c r="I7">
        <f>SUMIFS(Table1[revenue],Table1[region],Table1[[#This Row],[region]],Table1[product_category],Table1[[#This Row],[product_category]])</f>
        <v>4162.0</v>
      </c>
    </row>
    <row r="8">
      <c r="A8" s="1">
        <v>7.0</v>
      </c>
      <c r="B8" s="1" t="s">
        <v>18</v>
      </c>
      <c r="C8" s="1" t="s">
        <v>10</v>
      </c>
      <c r="D8" s="1">
        <v>3694.0</v>
      </c>
      <c r="E8" s="1" t="s">
        <v>25</v>
      </c>
      <c r="F8" s="2" t="s">
        <f t="shared" si="0"/>
        <v>12</v>
      </c>
      <c r="G8">
        <f>(@Table1[Category + Region total]/Table1[[#This Row],[Region_total]])*100</f>
        <v>38.7273690442803</v>
      </c>
      <c r="H8" s="2">
        <f>SUMIFS(Table1[revenue],Table1[region],Table1[[#This Row],[region]])</f>
        <v>32091.0</v>
      </c>
      <c r="I8">
        <f>SUMIFS(Table1[revenue],Table1[region],Table1[[#This Row],[region]],Table1[product_category],Table1[[#This Row],[product_category]])</f>
        <v>12428.0</v>
      </c>
    </row>
    <row r="9">
      <c r="A9" s="1">
        <v>8.0</v>
      </c>
      <c r="B9" s="1" t="s">
        <v>26</v>
      </c>
      <c r="C9" s="1" t="s">
        <v>27</v>
      </c>
      <c r="D9" s="1">
        <v>3288.0</v>
      </c>
      <c r="E9" s="1" t="s">
        <v>28</v>
      </c>
      <c r="F9" s="2" t="s">
        <f t="shared" si="0"/>
        <v>12</v>
      </c>
      <c r="G9">
        <f>(@Table1[Category + Region total]/Table1[[#This Row],[Region_total]])*100</f>
        <v>16.12047937214</v>
      </c>
      <c r="H9" s="2">
        <f>SUMIFS(Table1[revenue],Table1[region],Table1[[#This Row],[region]])</f>
        <v>37716.0</v>
      </c>
      <c r="I9">
        <f>SUMIFS(Table1[revenue],Table1[region],Table1[[#This Row],[region]],Table1[product_category],Table1[[#This Row],[product_category]])</f>
        <v>6080.0</v>
      </c>
    </row>
    <row r="10">
      <c r="A10" s="1">
        <v>9.0</v>
      </c>
      <c r="B10" s="1" t="s">
        <v>29</v>
      </c>
      <c r="C10" s="1" t="s">
        <v>14</v>
      </c>
      <c r="D10" s="1">
        <v>1660.0</v>
      </c>
      <c r="E10" s="1" t="s">
        <v>17</v>
      </c>
      <c r="F10" s="2" t="s">
        <f t="shared" si="0"/>
        <v>24</v>
      </c>
      <c r="G10">
        <f>(@Table1[Category + Region total]/Table1[[#This Row],[Region_total]])*100</f>
        <v>9.25989791695406</v>
      </c>
      <c r="H10" s="2">
        <f>SUMIFS(Table1[revenue],Table1[region],Table1[[#This Row],[region]])</f>
        <v>28996.0</v>
      </c>
      <c r="I10">
        <f>SUMIFS(Table1[revenue],Table1[region],Table1[[#This Row],[region]],Table1[product_category],Table1[[#This Row],[product_category]])</f>
        <v>2685.0</v>
      </c>
    </row>
    <row r="11">
      <c r="A11" s="1">
        <v>10.0</v>
      </c>
      <c r="B11" s="1" t="s">
        <v>13</v>
      </c>
      <c r="C11" s="1" t="s">
        <v>16</v>
      </c>
      <c r="D11" s="1">
        <v>2691.0</v>
      </c>
      <c r="E11" s="1" t="s">
        <v>17</v>
      </c>
      <c r="F11" s="2" t="s">
        <f t="shared" si="0"/>
        <v>12</v>
      </c>
      <c r="G11">
        <f>(@Table1[Category + Region total]/Table1[[#This Row],[Region_total]])*100</f>
        <v>22.9077359361603</v>
      </c>
      <c r="H11" s="2">
        <f>SUMIFS(Table1[revenue],Table1[region],Table1[[#This Row],[region]])</f>
        <v>30326.0</v>
      </c>
      <c r="I11">
        <f>SUMIFS(Table1[revenue],Table1[region],Table1[[#This Row],[region]],Table1[product_category],Table1[[#This Row],[product_category]])</f>
        <v>6947.0</v>
      </c>
    </row>
    <row r="12">
      <c r="A12" s="1">
        <v>11.0</v>
      </c>
      <c r="B12" s="1" t="s">
        <v>30</v>
      </c>
      <c r="C12" s="1" t="s">
        <v>31</v>
      </c>
      <c r="D12" s="1">
        <v>1767.0</v>
      </c>
      <c r="E12" s="1" t="s">
        <v>20</v>
      </c>
      <c r="F12" s="2" t="s">
        <f t="shared" si="0"/>
        <v>24</v>
      </c>
      <c r="G12">
        <f>(@Table1[Category + Region total]/Table1[[#This Row],[Region_total]])*100</f>
        <v>33.847623458577</v>
      </c>
      <c r="H12" s="2">
        <f>SUMIFS(Table1[revenue],Table1[region],Table1[[#This Row],[region]])</f>
        <v>34546.0</v>
      </c>
      <c r="I12">
        <f>SUMIFS(Table1[revenue],Table1[region],Table1[[#This Row],[region]],Table1[product_category],Table1[[#This Row],[product_category]])</f>
        <v>11693.0</v>
      </c>
    </row>
    <row r="13">
      <c r="A13" s="1">
        <v>12.0</v>
      </c>
      <c r="B13" s="1" t="s">
        <v>32</v>
      </c>
      <c r="C13" s="1" t="s">
        <v>33</v>
      </c>
      <c r="D13" s="1">
        <v>4584.0</v>
      </c>
      <c r="E13" s="1" t="s">
        <v>20</v>
      </c>
      <c r="F13" s="2" t="s">
        <f t="shared" si="0"/>
        <v>12</v>
      </c>
      <c r="G13">
        <f>(@Table1[Category + Region total]/Table1[[#This Row],[Region_total]])*100</f>
        <v>57.2058208898514</v>
      </c>
      <c r="H13" s="2">
        <f>SUMIFS(Table1[revenue],Table1[region],Table1[[#This Row],[region]])</f>
        <v>26319.0</v>
      </c>
      <c r="I13">
        <f>SUMIFS(Table1[revenue],Table1[region],Table1[[#This Row],[region]],Table1[product_category],Table1[[#This Row],[product_category]])</f>
        <v>15056.0</v>
      </c>
    </row>
    <row r="14">
      <c r="A14" s="1">
        <v>13.0</v>
      </c>
      <c r="B14" s="1" t="s">
        <v>13</v>
      </c>
      <c r="C14" s="1" t="s">
        <v>16</v>
      </c>
      <c r="D14" s="1">
        <v>2101.0</v>
      </c>
      <c r="E14" s="1" t="s">
        <v>17</v>
      </c>
      <c r="F14" s="2" t="s">
        <f t="shared" si="0"/>
        <v>12</v>
      </c>
      <c r="G14">
        <f>(@Table1[Category + Region total]/Table1[[#This Row],[Region_total]])*100</f>
        <v>22.9077359361603</v>
      </c>
      <c r="H14" s="2">
        <f>SUMIFS(Table1[revenue],Table1[region],Table1[[#This Row],[region]])</f>
        <v>30326.0</v>
      </c>
      <c r="I14">
        <f>SUMIFS(Table1[revenue],Table1[region],Table1[[#This Row],[region]],Table1[product_category],Table1[[#This Row],[product_category]])</f>
        <v>6947.0</v>
      </c>
    </row>
    <row r="15">
      <c r="A15" s="1">
        <v>14.0</v>
      </c>
      <c r="B15" s="1" t="s">
        <v>32</v>
      </c>
      <c r="C15" s="1" t="s">
        <v>34</v>
      </c>
      <c r="D15" s="1">
        <v>1384.0</v>
      </c>
      <c r="E15" s="1" t="s">
        <v>17</v>
      </c>
      <c r="F15" s="2" t="s">
        <f t="shared" si="0"/>
        <v>24</v>
      </c>
      <c r="G15">
        <f>(@Table1[Category + Region total]/Table1[[#This Row],[Region_total]])*100</f>
        <v>27.5799278635711</v>
      </c>
      <c r="H15" s="2">
        <f>SUMIFS(Table1[revenue],Table1[region],Table1[[#This Row],[region]])</f>
        <v>28557.0</v>
      </c>
      <c r="I15">
        <f>SUMIFS(Table1[revenue],Table1[region],Table1[[#This Row],[region]],Table1[product_category],Table1[[#This Row],[product_category]])</f>
        <v>7876.0</v>
      </c>
    </row>
    <row r="16">
      <c r="A16" s="1">
        <v>15.0</v>
      </c>
      <c r="B16" s="1" t="s">
        <v>21</v>
      </c>
      <c r="C16" s="1" t="s">
        <v>33</v>
      </c>
      <c r="D16" s="1">
        <v>2280.0</v>
      </c>
      <c r="E16" s="1" t="s">
        <v>20</v>
      </c>
      <c r="F16" s="2" t="s">
        <f t="shared" si="0"/>
        <v>12</v>
      </c>
      <c r="G16">
        <f>(@Table1[Category + Region total]/Table1[[#This Row],[Region_total]])*100</f>
        <v>57.2058208898514</v>
      </c>
      <c r="H16" s="2">
        <f>SUMIFS(Table1[revenue],Table1[region],Table1[[#This Row],[region]])</f>
        <v>26319.0</v>
      </c>
      <c r="I16">
        <f>SUMIFS(Table1[revenue],Table1[region],Table1[[#This Row],[region]],Table1[product_category],Table1[[#This Row],[product_category]])</f>
        <v>15056.0</v>
      </c>
    </row>
    <row r="17">
      <c r="A17" s="1">
        <v>16.0</v>
      </c>
      <c r="B17" s="1" t="s">
        <v>21</v>
      </c>
      <c r="C17" s="1" t="s">
        <v>31</v>
      </c>
      <c r="D17" s="1">
        <v>3502.0</v>
      </c>
      <c r="E17" s="1" t="s">
        <v>35</v>
      </c>
      <c r="F17" s="2" t="s">
        <f t="shared" si="0"/>
        <v>12</v>
      </c>
      <c r="G17">
        <f>(@Table1[Category + Region total]/Table1[[#This Row],[Region_total]])*100</f>
        <v>27.24772766746</v>
      </c>
      <c r="H17" s="2">
        <f>SUMIFS(Table1[revenue],Table1[region],Table1[[#This Row],[region]])</f>
        <v>34546.0</v>
      </c>
      <c r="I17">
        <f>SUMIFS(Table1[revenue],Table1[region],Table1[[#This Row],[region]],Table1[product_category],Table1[[#This Row],[product_category]])</f>
        <v>9413.0</v>
      </c>
    </row>
    <row r="18">
      <c r="A18" s="1">
        <v>17.0</v>
      </c>
      <c r="B18" s="1" t="s">
        <v>32</v>
      </c>
      <c r="C18" s="1" t="s">
        <v>34</v>
      </c>
      <c r="D18" s="1">
        <v>2532.0</v>
      </c>
      <c r="E18" s="1" t="s">
        <v>36</v>
      </c>
      <c r="F18" s="2" t="s">
        <f t="shared" si="0"/>
        <v>12</v>
      </c>
      <c r="G18">
        <f>(@Table1[Category + Region total]/Table1[[#This Row],[Region_total]])*100</f>
        <v>22.6774521133172</v>
      </c>
      <c r="H18" s="2">
        <f>SUMIFS(Table1[revenue],Table1[region],Table1[[#This Row],[region]])</f>
        <v>28557.0</v>
      </c>
      <c r="I18">
        <f>SUMIFS(Table1[revenue],Table1[region],Table1[[#This Row],[region]],Table1[product_category],Table1[[#This Row],[product_category]])</f>
        <v>6476.0</v>
      </c>
    </row>
    <row r="19">
      <c r="A19" s="1">
        <v>18.0</v>
      </c>
      <c r="B19" s="1" t="s">
        <v>29</v>
      </c>
      <c r="C19" s="1" t="s">
        <v>19</v>
      </c>
      <c r="D19" s="1">
        <v>4346.0</v>
      </c>
      <c r="E19" s="1" t="s">
        <v>28</v>
      </c>
      <c r="F19" s="2" t="s">
        <f t="shared" si="0"/>
        <v>12</v>
      </c>
      <c r="G19">
        <f>(@Table1[Category + Region total]/Table1[[#This Row],[Region_total]])*100</f>
        <v>18.6927015120848</v>
      </c>
      <c r="H19" s="2">
        <f>SUMIFS(Table1[revenue],Table1[region],Table1[[#This Row],[region]])</f>
        <v>33596.0</v>
      </c>
      <c r="I19">
        <f>SUMIFS(Table1[revenue],Table1[region],Table1[[#This Row],[region]],Table1[product_category],Table1[[#This Row],[product_category]])</f>
        <v>6280.0</v>
      </c>
    </row>
    <row r="20">
      <c r="A20" s="1">
        <v>19.0</v>
      </c>
      <c r="B20" s="1" t="s">
        <v>13</v>
      </c>
      <c r="C20" s="1" t="s">
        <v>31</v>
      </c>
      <c r="D20" s="1">
        <v>3972.0</v>
      </c>
      <c r="E20" s="1" t="s">
        <v>35</v>
      </c>
      <c r="F20" s="2" t="s">
        <f t="shared" si="0"/>
        <v>12</v>
      </c>
      <c r="G20">
        <f>(@Table1[Category + Region total]/Table1[[#This Row],[Region_total]])*100</f>
        <v>27.24772766746</v>
      </c>
      <c r="H20" s="2">
        <f>SUMIFS(Table1[revenue],Table1[region],Table1[[#This Row],[region]])</f>
        <v>34546.0</v>
      </c>
      <c r="I20">
        <f>SUMIFS(Table1[revenue],Table1[region],Table1[[#This Row],[region]],Table1[product_category],Table1[[#This Row],[product_category]])</f>
        <v>9413.0</v>
      </c>
    </row>
    <row r="21">
      <c r="A21" s="1">
        <v>20.0</v>
      </c>
      <c r="B21" s="1" t="s">
        <v>9</v>
      </c>
      <c r="C21" s="1" t="s">
        <v>27</v>
      </c>
      <c r="D21" s="1">
        <v>1377.0</v>
      </c>
      <c r="E21" s="1" t="s">
        <v>11</v>
      </c>
      <c r="F21" s="2" t="s">
        <f t="shared" si="0"/>
        <v>24</v>
      </c>
      <c r="G21">
        <f>(@Table1[Category + Region total]/Table1[[#This Row],[Region_total]])*100</f>
        <v>14.1902640789055</v>
      </c>
      <c r="H21" s="2">
        <f>SUMIFS(Table1[revenue],Table1[region],Table1[[#This Row],[region]])</f>
        <v>37716.0</v>
      </c>
      <c r="I21">
        <f>SUMIFS(Table1[revenue],Table1[region],Table1[[#This Row],[region]],Table1[product_category],Table1[[#This Row],[product_category]])</f>
        <v>5352.0</v>
      </c>
    </row>
    <row r="22">
      <c r="A22" s="1">
        <v>21.0</v>
      </c>
      <c r="B22" s="1" t="s">
        <v>32</v>
      </c>
      <c r="C22" s="1" t="s">
        <v>34</v>
      </c>
      <c r="D22" s="1">
        <v>3328.0</v>
      </c>
      <c r="E22" s="1" t="s">
        <v>35</v>
      </c>
      <c r="F22" s="2" t="s">
        <f t="shared" si="0"/>
        <v>12</v>
      </c>
      <c r="G22">
        <f>(@Table1[Category + Region total]/Table1[[#This Row],[Region_total]])*100</f>
        <v>11.653885212032</v>
      </c>
      <c r="H22" s="2">
        <f>SUMIFS(Table1[revenue],Table1[region],Table1[[#This Row],[region]])</f>
        <v>28557.0</v>
      </c>
      <c r="I22">
        <f>SUMIFS(Table1[revenue],Table1[region],Table1[[#This Row],[region]],Table1[product_category],Table1[[#This Row],[product_category]])</f>
        <v>3328.0</v>
      </c>
    </row>
    <row r="23">
      <c r="A23" s="1">
        <v>22.0</v>
      </c>
      <c r="B23" s="1" t="s">
        <v>29</v>
      </c>
      <c r="C23" s="1" t="s">
        <v>14</v>
      </c>
      <c r="D23" s="1">
        <v>2543.0</v>
      </c>
      <c r="E23" s="1" t="s">
        <v>35</v>
      </c>
      <c r="F23" s="2" t="s">
        <f t="shared" si="0"/>
        <v>12</v>
      </c>
      <c r="G23">
        <f>(@Table1[Category + Region total]/Table1[[#This Row],[Region_total]])*100</f>
        <v>8.77017519657883</v>
      </c>
      <c r="H23" s="2">
        <f>SUMIFS(Table1[revenue],Table1[region],Table1[[#This Row],[region]])</f>
        <v>28996.0</v>
      </c>
      <c r="I23">
        <f>SUMIFS(Table1[revenue],Table1[region],Table1[[#This Row],[region]],Table1[product_category],Table1[[#This Row],[product_category]])</f>
        <v>2543.0</v>
      </c>
    </row>
    <row r="24">
      <c r="A24" s="1">
        <v>23.0</v>
      </c>
      <c r="B24" s="1" t="s">
        <v>29</v>
      </c>
      <c r="C24" s="1" t="s">
        <v>22</v>
      </c>
      <c r="D24" s="1">
        <v>2725.0</v>
      </c>
      <c r="E24" s="1" t="s">
        <v>23</v>
      </c>
      <c r="F24" s="2" t="s">
        <f t="shared" si="0"/>
        <v>12</v>
      </c>
      <c r="G24">
        <f>(@Table1[Category + Region total]/Table1[[#This Row],[Region_total]])*100</f>
        <v>18.090932800139</v>
      </c>
      <c r="H24" s="2">
        <f>SUMIFS(Table1[revenue],Table1[region],Table1[[#This Row],[region]])</f>
        <v>23006.0</v>
      </c>
      <c r="I24">
        <f>SUMIFS(Table1[revenue],Table1[region],Table1[[#This Row],[region]],Table1[product_category],Table1[[#This Row],[product_category]])</f>
        <v>4162.0</v>
      </c>
    </row>
    <row r="25">
      <c r="A25" s="1">
        <v>24.0</v>
      </c>
      <c r="B25" s="1" t="s">
        <v>9</v>
      </c>
      <c r="C25" s="1" t="s">
        <v>22</v>
      </c>
      <c r="D25" s="1">
        <v>2879.0</v>
      </c>
      <c r="E25" s="1" t="s">
        <v>35</v>
      </c>
      <c r="F25" s="2" t="s">
        <f t="shared" si="0"/>
        <v>12</v>
      </c>
      <c r="G25">
        <f>(@Table1[Category + Region total]/Table1[[#This Row],[Region_total]])*100</f>
        <v>12.5141267495436</v>
      </c>
      <c r="H25" s="2">
        <f>SUMIFS(Table1[revenue],Table1[region],Table1[[#This Row],[region]])</f>
        <v>23006.0</v>
      </c>
      <c r="I25">
        <f>SUMIFS(Table1[revenue],Table1[region],Table1[[#This Row],[region]],Table1[product_category],Table1[[#This Row],[product_category]])</f>
        <v>2879.0</v>
      </c>
    </row>
    <row r="26">
      <c r="A26" s="1">
        <v>25.0</v>
      </c>
      <c r="B26" s="1" t="s">
        <v>37</v>
      </c>
      <c r="C26" s="1" t="s">
        <v>16</v>
      </c>
      <c r="D26" s="1">
        <v>2100.0</v>
      </c>
      <c r="E26" s="1" t="s">
        <v>35</v>
      </c>
      <c r="F26" s="2" t="s">
        <f t="shared" si="0"/>
        <v>12</v>
      </c>
      <c r="G26">
        <f>(@Table1[Category + Region total]/Table1[[#This Row],[Region_total]])*100</f>
        <v>17.704280155642</v>
      </c>
      <c r="H26" s="2">
        <f>SUMIFS(Table1[revenue],Table1[region],Table1[[#This Row],[region]])</f>
        <v>30326.0</v>
      </c>
      <c r="I26">
        <f>SUMIFS(Table1[revenue],Table1[region],Table1[[#This Row],[region]],Table1[product_category],Table1[[#This Row],[product_category]])</f>
        <v>5369.0</v>
      </c>
    </row>
    <row r="27">
      <c r="A27" s="1">
        <v>26.0</v>
      </c>
      <c r="B27" s="1" t="s">
        <v>9</v>
      </c>
      <c r="C27" s="1" t="s">
        <v>31</v>
      </c>
      <c r="D27" s="1">
        <v>1206.0</v>
      </c>
      <c r="E27" s="1" t="s">
        <v>20</v>
      </c>
      <c r="F27" s="2" t="s">
        <f t="shared" si="0"/>
        <v>24</v>
      </c>
      <c r="G27">
        <f>(@Table1[Category + Region total]/Table1[[#This Row],[Region_total]])*100</f>
        <v>33.847623458577</v>
      </c>
      <c r="H27" s="2">
        <f>SUMIFS(Table1[revenue],Table1[region],Table1[[#This Row],[region]])</f>
        <v>34546.0</v>
      </c>
      <c r="I27">
        <f>SUMIFS(Table1[revenue],Table1[region],Table1[[#This Row],[region]],Table1[product_category],Table1[[#This Row],[product_category]])</f>
        <v>11693.0</v>
      </c>
    </row>
    <row r="28">
      <c r="A28" s="1">
        <v>27.0</v>
      </c>
      <c r="B28" s="1" t="s">
        <v>38</v>
      </c>
      <c r="C28" s="1" t="s">
        <v>10</v>
      </c>
      <c r="D28" s="1">
        <v>2399.0</v>
      </c>
      <c r="E28" s="1" t="s">
        <v>39</v>
      </c>
      <c r="F28" s="2" t="s">
        <f t="shared" si="0"/>
        <v>12</v>
      </c>
      <c r="G28">
        <f>(@Table1[Category + Region total]/Table1[[#This Row],[Region_total]])*100</f>
        <v>7.47561621638466</v>
      </c>
      <c r="H28" s="2">
        <f>SUMIFS(Table1[revenue],Table1[region],Table1[[#This Row],[region]])</f>
        <v>32091.0</v>
      </c>
      <c r="I28">
        <f>SUMIFS(Table1[revenue],Table1[region],Table1[[#This Row],[region]],Table1[product_category],Table1[[#This Row],[product_category]])</f>
        <v>2399.0</v>
      </c>
    </row>
    <row r="29">
      <c r="A29" s="1">
        <v>28.0</v>
      </c>
      <c r="B29" s="1" t="s">
        <v>18</v>
      </c>
      <c r="C29" s="1" t="s">
        <v>31</v>
      </c>
      <c r="D29" s="1">
        <v>2255.0</v>
      </c>
      <c r="E29" s="1" t="s">
        <v>20</v>
      </c>
      <c r="F29" s="2" t="s">
        <f t="shared" si="0"/>
        <v>12</v>
      </c>
      <c r="G29">
        <f>(@Table1[Category + Region total]/Table1[[#This Row],[Region_total]])*100</f>
        <v>33.847623458577</v>
      </c>
      <c r="H29" s="2">
        <f>SUMIFS(Table1[revenue],Table1[region],Table1[[#This Row],[region]])</f>
        <v>34546.0</v>
      </c>
      <c r="I29">
        <f>SUMIFS(Table1[revenue],Table1[region],Table1[[#This Row],[region]],Table1[product_category],Table1[[#This Row],[product_category]])</f>
        <v>11693.0</v>
      </c>
    </row>
    <row r="30">
      <c r="A30" s="1">
        <v>29.0</v>
      </c>
      <c r="B30" s="1" t="s">
        <v>21</v>
      </c>
      <c r="C30" s="1" t="s">
        <v>27</v>
      </c>
      <c r="D30" s="1">
        <v>3206.0</v>
      </c>
      <c r="E30" s="1" t="s">
        <v>15</v>
      </c>
      <c r="F30" s="2" t="s">
        <f t="shared" si="0"/>
        <v>12</v>
      </c>
      <c r="G30">
        <f>(@Table1[Category + Region total]/Table1[[#This Row],[Region_total]])*100</f>
        <v>20.4130872839113</v>
      </c>
      <c r="H30" s="2">
        <f>SUMIFS(Table1[revenue],Table1[region],Table1[[#This Row],[region]])</f>
        <v>37716.0</v>
      </c>
      <c r="I30">
        <f>SUMIFS(Table1[revenue],Table1[region],Table1[[#This Row],[region]],Table1[product_category],Table1[[#This Row],[product_category]])</f>
        <v>7699.0</v>
      </c>
    </row>
    <row r="31">
      <c r="A31" s="1">
        <v>30.0</v>
      </c>
      <c r="B31" s="1" t="s">
        <v>9</v>
      </c>
      <c r="C31" s="1" t="s">
        <v>14</v>
      </c>
      <c r="D31" s="1">
        <v>3843.0</v>
      </c>
      <c r="E31" s="1" t="s">
        <v>20</v>
      </c>
      <c r="F31" s="2" t="s">
        <f t="shared" si="0"/>
        <v>12</v>
      </c>
      <c r="G31">
        <f>(@Table1[Category + Region total]/Table1[[#This Row],[Region_total]])*100</f>
        <v>13.2535522140983</v>
      </c>
      <c r="H31" s="2">
        <f>SUMIFS(Table1[revenue],Table1[region],Table1[[#This Row],[region]])</f>
        <v>28996.0</v>
      </c>
      <c r="I31">
        <f>SUMIFS(Table1[revenue],Table1[region],Table1[[#This Row],[region]],Table1[product_category],Table1[[#This Row],[product_category]])</f>
        <v>3843.0</v>
      </c>
    </row>
    <row r="32">
      <c r="A32" s="1">
        <v>31.0</v>
      </c>
      <c r="B32" s="1" t="s">
        <v>30</v>
      </c>
      <c r="C32" s="1" t="s">
        <v>14</v>
      </c>
      <c r="D32" s="1">
        <v>3696.0</v>
      </c>
      <c r="E32" s="1" t="s">
        <v>15</v>
      </c>
      <c r="F32" s="2" t="s">
        <f t="shared" si="0"/>
        <v>12</v>
      </c>
      <c r="G32">
        <f>(@Table1[Category + Region total]/Table1[[#This Row],[Region_total]])*100</f>
        <v>29.7144433714995</v>
      </c>
      <c r="H32" s="2">
        <f>SUMIFS(Table1[revenue],Table1[region],Table1[[#This Row],[region]])</f>
        <v>28996.0</v>
      </c>
      <c r="I32">
        <f>SUMIFS(Table1[revenue],Table1[region],Table1[[#This Row],[region]],Table1[product_category],Table1[[#This Row],[product_category]])</f>
        <v>8616.0</v>
      </c>
    </row>
    <row r="33">
      <c r="A33" s="1">
        <v>32.0</v>
      </c>
      <c r="B33" s="1" t="s">
        <v>29</v>
      </c>
      <c r="C33" s="1" t="s">
        <v>19</v>
      </c>
      <c r="D33" s="1">
        <v>4626.0</v>
      </c>
      <c r="E33" s="1" t="s">
        <v>11</v>
      </c>
      <c r="F33" s="2" t="s">
        <f t="shared" si="0"/>
        <v>12</v>
      </c>
      <c r="G33">
        <f>(@Table1[Category + Region total]/Table1[[#This Row],[Region_total]])*100</f>
        <v>13.7694963686153</v>
      </c>
      <c r="H33" s="2">
        <f>SUMIFS(Table1[revenue],Table1[region],Table1[[#This Row],[region]])</f>
        <v>33596.0</v>
      </c>
      <c r="I33">
        <f>SUMIFS(Table1[revenue],Table1[region],Table1[[#This Row],[region]],Table1[product_category],Table1[[#This Row],[product_category]])</f>
        <v>4626.0</v>
      </c>
    </row>
    <row r="34">
      <c r="A34" s="1">
        <v>33.0</v>
      </c>
      <c r="B34" s="1" t="s">
        <v>38</v>
      </c>
      <c r="C34" s="1" t="s">
        <v>19</v>
      </c>
      <c r="D34" s="1">
        <v>3150.0</v>
      </c>
      <c r="E34" s="1" t="s">
        <v>36</v>
      </c>
      <c r="F34" s="2" t="s">
        <f t="shared" si="0"/>
        <v>12</v>
      </c>
      <c r="G34">
        <f>(@Table1[Category + Region total]/Table1[[#This Row],[Region_total]])*100</f>
        <v>46.8597452077628</v>
      </c>
      <c r="H34" s="2">
        <f>SUMIFS(Table1[revenue],Table1[region],Table1[[#This Row],[region]])</f>
        <v>33596.0</v>
      </c>
      <c r="I34">
        <f>SUMIFS(Table1[revenue],Table1[region],Table1[[#This Row],[region]],Table1[product_category],Table1[[#This Row],[product_category]])</f>
        <v>15743.0</v>
      </c>
    </row>
    <row r="35">
      <c r="A35" s="1">
        <v>34.0</v>
      </c>
      <c r="B35" s="1" t="s">
        <v>9</v>
      </c>
      <c r="C35" s="1" t="s">
        <v>34</v>
      </c>
      <c r="D35" s="1">
        <v>3847.0</v>
      </c>
      <c r="E35" s="1" t="s">
        <v>15</v>
      </c>
      <c r="F35" s="2" t="s">
        <f t="shared" si="0"/>
        <v>12</v>
      </c>
      <c r="G35">
        <f>(@Table1[Category + Region total]/Table1[[#This Row],[Region_total]])*100</f>
        <v>17.8660223412823</v>
      </c>
      <c r="H35" s="2">
        <f>SUMIFS(Table1[revenue],Table1[region],Table1[[#This Row],[region]])</f>
        <v>28557.0</v>
      </c>
      <c r="I35">
        <f>SUMIFS(Table1[revenue],Table1[region],Table1[[#This Row],[region]],Table1[product_category],Table1[[#This Row],[product_category]])</f>
        <v>5102.0</v>
      </c>
    </row>
    <row r="36">
      <c r="A36" s="1">
        <v>35.0</v>
      </c>
      <c r="B36" s="1" t="s">
        <v>37</v>
      </c>
      <c r="C36" s="1" t="s">
        <v>10</v>
      </c>
      <c r="D36" s="1">
        <v>2506.0</v>
      </c>
      <c r="E36" s="1" t="s">
        <v>23</v>
      </c>
      <c r="F36" s="2" t="s">
        <f t="shared" si="0"/>
        <v>12</v>
      </c>
      <c r="G36">
        <f>(@Table1[Category + Region total]/Table1[[#This Row],[Region_total]])*100</f>
        <v>7.80904303387242</v>
      </c>
      <c r="H36" s="2">
        <f>SUMIFS(Table1[revenue],Table1[region],Table1[[#This Row],[region]])</f>
        <v>32091.0</v>
      </c>
      <c r="I36">
        <f>SUMIFS(Table1[revenue],Table1[region],Table1[[#This Row],[region]],Table1[product_category],Table1[[#This Row],[product_category]])</f>
        <v>2506.0</v>
      </c>
    </row>
    <row r="37">
      <c r="A37" s="1">
        <v>36.0</v>
      </c>
      <c r="B37" s="1" t="s">
        <v>29</v>
      </c>
      <c r="C37" s="1" t="s">
        <v>27</v>
      </c>
      <c r="D37" s="1">
        <v>4373.0</v>
      </c>
      <c r="E37" s="1" t="s">
        <v>20</v>
      </c>
      <c r="F37" s="2" t="s">
        <f t="shared" si="0"/>
        <v>12</v>
      </c>
      <c r="G37">
        <f>(@Table1[Category + Region total]/Table1[[#This Row],[Region_total]])*100</f>
        <v>23.745890338318</v>
      </c>
      <c r="H37" s="2">
        <f>SUMIFS(Table1[revenue],Table1[region],Table1[[#This Row],[region]])</f>
        <v>37716.0</v>
      </c>
      <c r="I37">
        <f>SUMIFS(Table1[revenue],Table1[region],Table1[[#This Row],[region]],Table1[product_category],Table1[[#This Row],[product_category]])</f>
        <v>8956.0</v>
      </c>
    </row>
    <row r="38">
      <c r="A38" s="1">
        <v>37.0</v>
      </c>
      <c r="B38" s="1" t="s">
        <v>21</v>
      </c>
      <c r="C38" s="1" t="s">
        <v>34</v>
      </c>
      <c r="D38" s="1">
        <v>2440.0</v>
      </c>
      <c r="E38" s="1" t="s">
        <v>17</v>
      </c>
      <c r="F38" s="2" t="s">
        <f t="shared" si="0"/>
        <v>12</v>
      </c>
      <c r="G38">
        <f>(@Table1[Category + Region total]/Table1[[#This Row],[Region_total]])*100</f>
        <v>27.5799278635711</v>
      </c>
      <c r="H38" s="2">
        <f>SUMIFS(Table1[revenue],Table1[region],Table1[[#This Row],[region]])</f>
        <v>28557.0</v>
      </c>
      <c r="I38">
        <f>SUMIFS(Table1[revenue],Table1[region],Table1[[#This Row],[region]],Table1[product_category],Table1[[#This Row],[product_category]])</f>
        <v>7876.0</v>
      </c>
    </row>
    <row r="39">
      <c r="A39" s="1">
        <v>38.0</v>
      </c>
      <c r="B39" s="1" t="s">
        <v>29</v>
      </c>
      <c r="C39" s="1" t="s">
        <v>34</v>
      </c>
      <c r="D39" s="1">
        <v>4052.0</v>
      </c>
      <c r="E39" s="1" t="s">
        <v>17</v>
      </c>
      <c r="F39" s="2" t="s">
        <f t="shared" si="0"/>
        <v>12</v>
      </c>
      <c r="G39">
        <f>(@Table1[Category + Region total]/Table1[[#This Row],[Region_total]])*100</f>
        <v>27.5799278635711</v>
      </c>
      <c r="H39" s="2">
        <f>SUMIFS(Table1[revenue],Table1[region],Table1[[#This Row],[region]])</f>
        <v>28557.0</v>
      </c>
      <c r="I39">
        <f>SUMIFS(Table1[revenue],Table1[region],Table1[[#This Row],[region]],Table1[product_category],Table1[[#This Row],[product_category]])</f>
        <v>7876.0</v>
      </c>
    </row>
    <row r="40">
      <c r="A40" s="1">
        <v>39.0</v>
      </c>
      <c r="B40" s="1" t="s">
        <v>9</v>
      </c>
      <c r="C40" s="1" t="s">
        <v>22</v>
      </c>
      <c r="D40" s="1">
        <v>3650.0</v>
      </c>
      <c r="E40" s="1" t="s">
        <v>39</v>
      </c>
      <c r="F40" s="2" t="s">
        <f t="shared" si="0"/>
        <v>12</v>
      </c>
      <c r="G40">
        <f>(@Table1[Category + Region total]/Table1[[#This Row],[Region_total]])*100</f>
        <v>27.0146918195253</v>
      </c>
      <c r="H40" s="2">
        <f>SUMIFS(Table1[revenue],Table1[region],Table1[[#This Row],[region]])</f>
        <v>23006.0</v>
      </c>
      <c r="I40">
        <f>SUMIFS(Table1[revenue],Table1[region],Table1[[#This Row],[region]],Table1[product_category],Table1[[#This Row],[product_category]])</f>
        <v>6215.0</v>
      </c>
    </row>
    <row r="41">
      <c r="A41" s="1">
        <v>40.0</v>
      </c>
      <c r="B41" s="1" t="s">
        <v>21</v>
      </c>
      <c r="C41" s="1" t="s">
        <v>10</v>
      </c>
      <c r="D41" s="1">
        <v>3845.0</v>
      </c>
      <c r="E41" s="1" t="s">
        <v>25</v>
      </c>
      <c r="F41" s="2" t="s">
        <f t="shared" si="0"/>
        <v>12</v>
      </c>
      <c r="G41">
        <f>(@Table1[Category + Region total]/Table1[[#This Row],[Region_total]])*100</f>
        <v>38.7273690442803</v>
      </c>
      <c r="H41" s="2">
        <f>SUMIFS(Table1[revenue],Table1[region],Table1[[#This Row],[region]])</f>
        <v>32091.0</v>
      </c>
      <c r="I41">
        <f>SUMIFS(Table1[revenue],Table1[region],Table1[[#This Row],[region]],Table1[product_category],Table1[[#This Row],[product_category]])</f>
        <v>12428.0</v>
      </c>
    </row>
    <row r="42">
      <c r="A42" s="1">
        <v>41.0</v>
      </c>
      <c r="B42" s="1" t="s">
        <v>9</v>
      </c>
      <c r="C42" s="1" t="s">
        <v>14</v>
      </c>
      <c r="D42" s="1">
        <v>2341.0</v>
      </c>
      <c r="E42" s="1" t="s">
        <v>39</v>
      </c>
      <c r="F42" s="2" t="s">
        <f t="shared" si="0"/>
        <v>12</v>
      </c>
      <c r="G42">
        <f>(@Table1[Category + Region total]/Table1[[#This Row],[Region_total]])*100</f>
        <v>8.07352738308732</v>
      </c>
      <c r="H42" s="2">
        <f>SUMIFS(Table1[revenue],Table1[region],Table1[[#This Row],[region]])</f>
        <v>28996.0</v>
      </c>
      <c r="I42">
        <f>SUMIFS(Table1[revenue],Table1[region],Table1[[#This Row],[region]],Table1[product_category],Table1[[#This Row],[product_category]])</f>
        <v>2341.0</v>
      </c>
    </row>
    <row r="43">
      <c r="A43" s="1">
        <v>42.0</v>
      </c>
      <c r="B43" s="1" t="s">
        <v>18</v>
      </c>
      <c r="C43" s="1" t="s">
        <v>22</v>
      </c>
      <c r="D43" s="1">
        <v>4641.0</v>
      </c>
      <c r="E43" s="1" t="s">
        <v>28</v>
      </c>
      <c r="F43" s="2" t="s">
        <f t="shared" si="0"/>
        <v>12</v>
      </c>
      <c r="G43">
        <f>(@Table1[Category + Region total]/Table1[[#This Row],[Region_total]])*100</f>
        <v>20.1729983482</v>
      </c>
      <c r="H43" s="2">
        <f>SUMIFS(Table1[revenue],Table1[region],Table1[[#This Row],[region]])</f>
        <v>23006.0</v>
      </c>
      <c r="I43">
        <f>SUMIFS(Table1[revenue],Table1[region],Table1[[#This Row],[region]],Table1[product_category],Table1[[#This Row],[product_category]])</f>
        <v>4641.0</v>
      </c>
    </row>
    <row r="44">
      <c r="A44" s="1">
        <v>43.0</v>
      </c>
      <c r="B44" s="1" t="s">
        <v>21</v>
      </c>
      <c r="C44" s="1" t="s">
        <v>40</v>
      </c>
      <c r="D44" s="1">
        <v>2177.0</v>
      </c>
      <c r="E44" s="1" t="s">
        <v>23</v>
      </c>
      <c r="F44" s="2" t="s">
        <f t="shared" si="0"/>
        <v>12</v>
      </c>
      <c r="G44">
        <f>(@Table1[Category + Region total]/Table1[[#This Row],[Region_total]])*100</f>
        <v>8.48435246891929</v>
      </c>
      <c r="H44" s="2">
        <f>SUMIFS(Table1[revenue],Table1[region],Table1[[#This Row],[region]])</f>
        <v>25659.0</v>
      </c>
      <c r="I44">
        <f>SUMIFS(Table1[revenue],Table1[region],Table1[[#This Row],[region]],Table1[product_category],Table1[[#This Row],[product_category]])</f>
        <v>2177.0</v>
      </c>
    </row>
    <row r="45">
      <c r="A45" s="1">
        <v>44.0</v>
      </c>
      <c r="B45" s="1" t="s">
        <v>18</v>
      </c>
      <c r="C45" s="1" t="s">
        <v>27</v>
      </c>
      <c r="D45" s="1">
        <v>2389.0</v>
      </c>
      <c r="E45" s="1" t="s">
        <v>17</v>
      </c>
      <c r="F45" s="2" t="s">
        <f t="shared" si="0"/>
        <v>12</v>
      </c>
      <c r="G45">
        <f>(@Table1[Category + Region total]/Table1[[#This Row],[Region_total]])*100</f>
        <v>6.33418177961608</v>
      </c>
      <c r="H45" s="2">
        <f>SUMIFS(Table1[revenue],Table1[region],Table1[[#This Row],[region]])</f>
        <v>37716.0</v>
      </c>
      <c r="I45">
        <f>SUMIFS(Table1[revenue],Table1[region],Table1[[#This Row],[region]],Table1[product_category],Table1[[#This Row],[product_category]])</f>
        <v>2389.0</v>
      </c>
    </row>
    <row r="46">
      <c r="A46" s="1">
        <v>45.0</v>
      </c>
      <c r="B46" s="1" t="s">
        <v>13</v>
      </c>
      <c r="C46" s="1" t="s">
        <v>31</v>
      </c>
      <c r="D46" s="1">
        <v>3647.0</v>
      </c>
      <c r="E46" s="1" t="s">
        <v>11</v>
      </c>
      <c r="F46" s="2" t="s">
        <f t="shared" si="0"/>
        <v>12</v>
      </c>
      <c r="G46">
        <f>(@Table1[Category + Region total]/Table1[[#This Row],[Region_total]])*100</f>
        <v>24.3472471487292</v>
      </c>
      <c r="H46" s="2">
        <f>SUMIFS(Table1[revenue],Table1[region],Table1[[#This Row],[region]])</f>
        <v>34546.0</v>
      </c>
      <c r="I46">
        <f>SUMIFS(Table1[revenue],Table1[region],Table1[[#This Row],[region]],Table1[product_category],Table1[[#This Row],[product_category]])</f>
        <v>8411.0</v>
      </c>
    </row>
    <row r="47">
      <c r="A47" s="1">
        <v>46.0</v>
      </c>
      <c r="B47" s="1" t="s">
        <v>32</v>
      </c>
      <c r="C47" s="1" t="s">
        <v>33</v>
      </c>
      <c r="D47" s="1">
        <v>4123.0</v>
      </c>
      <c r="E47" s="1" t="s">
        <v>20</v>
      </c>
      <c r="F47" s="2" t="s">
        <f t="shared" si="0"/>
        <v>12</v>
      </c>
      <c r="G47">
        <f>(@Table1[Category + Region total]/Table1[[#This Row],[Region_total]])*100</f>
        <v>57.2058208898514</v>
      </c>
      <c r="H47" s="2">
        <f>SUMIFS(Table1[revenue],Table1[region],Table1[[#This Row],[region]])</f>
        <v>26319.0</v>
      </c>
      <c r="I47">
        <f>SUMIFS(Table1[revenue],Table1[region],Table1[[#This Row],[region]],Table1[product_category],Table1[[#This Row],[product_category]])</f>
        <v>15056.0</v>
      </c>
    </row>
    <row r="48">
      <c r="A48" s="1">
        <v>47.0</v>
      </c>
      <c r="B48" s="1" t="s">
        <v>30</v>
      </c>
      <c r="C48" s="1" t="s">
        <v>31</v>
      </c>
      <c r="D48" s="1">
        <v>1631.0</v>
      </c>
      <c r="E48" s="1" t="s">
        <v>15</v>
      </c>
      <c r="F48" s="2" t="s">
        <f t="shared" si="0"/>
        <v>24</v>
      </c>
      <c r="G48">
        <f>(@Table1[Category + Region total]/Table1[[#This Row],[Region_total]])*100</f>
        <v>14.5574017252359</v>
      </c>
      <c r="H48" s="2">
        <f>SUMIFS(Table1[revenue],Table1[region],Table1[[#This Row],[region]])</f>
        <v>34546.0</v>
      </c>
      <c r="I48">
        <f>SUMIFS(Table1[revenue],Table1[region],Table1[[#This Row],[region]],Table1[product_category],Table1[[#This Row],[product_category]])</f>
        <v>5029.0</v>
      </c>
    </row>
    <row r="49">
      <c r="A49" s="1">
        <v>48.0</v>
      </c>
      <c r="B49" s="1" t="s">
        <v>37</v>
      </c>
      <c r="C49" s="1" t="s">
        <v>27</v>
      </c>
      <c r="D49" s="1">
        <v>4493.0</v>
      </c>
      <c r="E49" s="1" t="s">
        <v>15</v>
      </c>
      <c r="F49" s="2" t="s">
        <f t="shared" si="0"/>
        <v>12</v>
      </c>
      <c r="G49">
        <f>(@Table1[Category + Region total]/Table1[[#This Row],[Region_total]])*100</f>
        <v>20.4130872839113</v>
      </c>
      <c r="H49" s="2">
        <f>SUMIFS(Table1[revenue],Table1[region],Table1[[#This Row],[region]])</f>
        <v>37716.0</v>
      </c>
      <c r="I49">
        <f>SUMIFS(Table1[revenue],Table1[region],Table1[[#This Row],[region]],Table1[product_category],Table1[[#This Row],[product_category]])</f>
        <v>7699.0</v>
      </c>
    </row>
    <row r="50">
      <c r="A50" s="1">
        <v>49.0</v>
      </c>
      <c r="B50" s="1" t="s">
        <v>32</v>
      </c>
      <c r="C50" s="1" t="s">
        <v>40</v>
      </c>
      <c r="D50" s="1">
        <v>3238.0</v>
      </c>
      <c r="E50" s="1" t="s">
        <v>20</v>
      </c>
      <c r="F50" s="2" t="s">
        <f t="shared" si="0"/>
        <v>12</v>
      </c>
      <c r="G50">
        <f>(@Table1[Category + Region total]/Table1[[#This Row],[Region_total]])*100</f>
        <v>22.5145173233563</v>
      </c>
      <c r="H50" s="2">
        <f>SUMIFS(Table1[revenue],Table1[region],Table1[[#This Row],[region]])</f>
        <v>25659.0</v>
      </c>
      <c r="I50">
        <f>SUMIFS(Table1[revenue],Table1[region],Table1[[#This Row],[region]],Table1[product_category],Table1[[#This Row],[product_category]])</f>
        <v>5777.0</v>
      </c>
    </row>
    <row r="51">
      <c r="A51" s="1">
        <v>50.0</v>
      </c>
      <c r="B51" s="1" t="s">
        <v>13</v>
      </c>
      <c r="C51" s="1" t="s">
        <v>34</v>
      </c>
      <c r="D51" s="1">
        <v>3944.0</v>
      </c>
      <c r="E51" s="1" t="s">
        <v>36</v>
      </c>
      <c r="F51" s="2" t="s">
        <f t="shared" si="0"/>
        <v>12</v>
      </c>
      <c r="G51">
        <f>(@Table1[Category + Region total]/Table1[[#This Row],[Region_total]])*100</f>
        <v>22.6774521133172</v>
      </c>
      <c r="H51" s="2">
        <f>SUMIFS(Table1[revenue],Table1[region],Table1[[#This Row],[region]])</f>
        <v>28557.0</v>
      </c>
      <c r="I51">
        <f>SUMIFS(Table1[revenue],Table1[region],Table1[[#This Row],[region]],Table1[product_category],Table1[[#This Row],[product_category]])</f>
        <v>6476.0</v>
      </c>
    </row>
    <row r="52">
      <c r="A52" s="1">
        <v>51.0</v>
      </c>
      <c r="B52" s="1" t="s">
        <v>30</v>
      </c>
      <c r="C52" s="1" t="s">
        <v>14</v>
      </c>
      <c r="D52" s="1">
        <v>1025.0</v>
      </c>
      <c r="E52" s="1" t="s">
        <v>17</v>
      </c>
      <c r="F52" s="2" t="s">
        <f t="shared" si="0"/>
        <v>24</v>
      </c>
      <c r="G52">
        <f>(@Table1[Category + Region total]/Table1[[#This Row],[Region_total]])*100</f>
        <v>9.25989791695406</v>
      </c>
      <c r="H52" s="2">
        <f>SUMIFS(Table1[revenue],Table1[region],Table1[[#This Row],[region]])</f>
        <v>28996.0</v>
      </c>
      <c r="I52">
        <f>SUMIFS(Table1[revenue],Table1[region],Table1[[#This Row],[region]],Table1[product_category],Table1[[#This Row],[product_category]])</f>
        <v>2685.0</v>
      </c>
    </row>
    <row r="53">
      <c r="A53" s="1">
        <v>52.0</v>
      </c>
      <c r="B53" s="1" t="s">
        <v>30</v>
      </c>
      <c r="C53" s="1" t="s">
        <v>16</v>
      </c>
      <c r="D53" s="1">
        <v>4180.0</v>
      </c>
      <c r="E53" s="1" t="s">
        <v>25</v>
      </c>
      <c r="F53" s="2" t="s">
        <f t="shared" si="0"/>
        <v>12</v>
      </c>
      <c r="G53">
        <f>(@Table1[Category + Region total]/Table1[[#This Row],[Region_total]])*100</f>
        <v>13.7835520675328</v>
      </c>
      <c r="H53" s="2">
        <f>SUMIFS(Table1[revenue],Table1[region],Table1[[#This Row],[region]])</f>
        <v>30326.0</v>
      </c>
      <c r="I53">
        <f>SUMIFS(Table1[revenue],Table1[region],Table1[[#This Row],[region]],Table1[product_category],Table1[[#This Row],[product_category]])</f>
        <v>4180.0</v>
      </c>
    </row>
    <row r="54">
      <c r="A54" s="1">
        <v>53.0</v>
      </c>
      <c r="B54" s="1" t="s">
        <v>30</v>
      </c>
      <c r="C54" s="1" t="s">
        <v>31</v>
      </c>
      <c r="D54" s="1">
        <v>2957.0</v>
      </c>
      <c r="E54" s="1" t="s">
        <v>20</v>
      </c>
      <c r="F54" s="2" t="s">
        <f t="shared" si="0"/>
        <v>12</v>
      </c>
      <c r="G54">
        <f>(@Table1[Category + Region total]/Table1[[#This Row],[Region_total]])*100</f>
        <v>33.847623458577</v>
      </c>
      <c r="H54" s="2">
        <f>SUMIFS(Table1[revenue],Table1[region],Table1[[#This Row],[region]])</f>
        <v>34546.0</v>
      </c>
      <c r="I54">
        <f>SUMIFS(Table1[revenue],Table1[region],Table1[[#This Row],[region]],Table1[product_category],Table1[[#This Row],[product_category]])</f>
        <v>11693.0</v>
      </c>
    </row>
    <row r="55">
      <c r="A55" s="1">
        <v>54.0</v>
      </c>
      <c r="B55" s="1" t="s">
        <v>29</v>
      </c>
      <c r="C55" s="1" t="s">
        <v>40</v>
      </c>
      <c r="D55" s="1">
        <v>2482.0</v>
      </c>
      <c r="E55" s="1" t="s">
        <v>17</v>
      </c>
      <c r="F55" s="2" t="s">
        <f t="shared" si="0"/>
        <v>12</v>
      </c>
      <c r="G55">
        <f>(@Table1[Category + Region total]/Table1[[#This Row],[Region_total]])*100</f>
        <v>9.67301921353131</v>
      </c>
      <c r="H55" s="2">
        <f>SUMIFS(Table1[revenue],Table1[region],Table1[[#This Row],[region]])</f>
        <v>25659.0</v>
      </c>
      <c r="I55">
        <f>SUMIFS(Table1[revenue],Table1[region],Table1[[#This Row],[region]],Table1[product_category],Table1[[#This Row],[product_category]])</f>
        <v>2482.0</v>
      </c>
    </row>
    <row r="56">
      <c r="A56" s="1">
        <v>55.0</v>
      </c>
      <c r="B56" s="1" t="s">
        <v>9</v>
      </c>
      <c r="C56" s="1" t="s">
        <v>10</v>
      </c>
      <c r="D56" s="1">
        <v>2345.0</v>
      </c>
      <c r="E56" s="1" t="s">
        <v>36</v>
      </c>
      <c r="F56" s="2" t="s">
        <f t="shared" si="0"/>
        <v>12</v>
      </c>
      <c r="G56">
        <f>(@Table1[Category + Region total]/Table1[[#This Row],[Region_total]])*100</f>
        <v>20.6631142687981</v>
      </c>
      <c r="H56" s="2">
        <f>SUMIFS(Table1[revenue],Table1[region],Table1[[#This Row],[region]])</f>
        <v>32091.0</v>
      </c>
      <c r="I56">
        <f>SUMIFS(Table1[revenue],Table1[region],Table1[[#This Row],[region]],Table1[product_category],Table1[[#This Row],[product_category]])</f>
        <v>6631.0</v>
      </c>
    </row>
    <row r="57">
      <c r="A57" s="1">
        <v>56.0</v>
      </c>
      <c r="B57" s="1" t="s">
        <v>32</v>
      </c>
      <c r="C57" s="1" t="s">
        <v>16</v>
      </c>
      <c r="D57" s="1">
        <v>1166.0</v>
      </c>
      <c r="E57" s="1" t="s">
        <v>35</v>
      </c>
      <c r="F57" s="2" t="s">
        <f t="shared" si="0"/>
        <v>24</v>
      </c>
      <c r="G57">
        <f>(@Table1[Category + Region total]/Table1[[#This Row],[Region_total]])*100</f>
        <v>17.704280155642</v>
      </c>
      <c r="H57" s="2">
        <f>SUMIFS(Table1[revenue],Table1[region],Table1[[#This Row],[region]])</f>
        <v>30326.0</v>
      </c>
      <c r="I57">
        <f>SUMIFS(Table1[revenue],Table1[region],Table1[[#This Row],[region]],Table1[product_category],Table1[[#This Row],[product_category]])</f>
        <v>5369.0</v>
      </c>
    </row>
    <row r="58">
      <c r="A58" s="1">
        <v>57.0</v>
      </c>
      <c r="B58" s="1" t="s">
        <v>13</v>
      </c>
      <c r="C58" s="1" t="s">
        <v>19</v>
      </c>
      <c r="D58" s="1">
        <v>4960.0</v>
      </c>
      <c r="E58" s="1" t="s">
        <v>36</v>
      </c>
      <c r="F58" s="2" t="s">
        <f t="shared" si="0"/>
        <v>12</v>
      </c>
      <c r="G58">
        <f>(@Table1[Category + Region total]/Table1[[#This Row],[Region_total]])*100</f>
        <v>46.8597452077628</v>
      </c>
      <c r="H58" s="2">
        <f>SUMIFS(Table1[revenue],Table1[region],Table1[[#This Row],[region]])</f>
        <v>33596.0</v>
      </c>
      <c r="I58">
        <f>SUMIFS(Table1[revenue],Table1[region],Table1[[#This Row],[region]],Table1[product_category],Table1[[#This Row],[product_category]])</f>
        <v>15743.0</v>
      </c>
    </row>
    <row r="59">
      <c r="A59" s="1">
        <v>58.0</v>
      </c>
      <c r="B59" s="1" t="s">
        <v>18</v>
      </c>
      <c r="C59" s="1" t="s">
        <v>10</v>
      </c>
      <c r="D59" s="1">
        <v>3261.0</v>
      </c>
      <c r="E59" s="1" t="s">
        <v>25</v>
      </c>
      <c r="F59" s="2" t="s">
        <f t="shared" si="0"/>
        <v>12</v>
      </c>
      <c r="G59">
        <f>(@Table1[Category + Region total]/Table1[[#This Row],[Region_total]])*100</f>
        <v>38.7273690442803</v>
      </c>
      <c r="H59" s="2">
        <f>SUMIFS(Table1[revenue],Table1[region],Table1[[#This Row],[region]])</f>
        <v>32091.0</v>
      </c>
      <c r="I59">
        <f>SUMIFS(Table1[revenue],Table1[region],Table1[[#This Row],[region]],Table1[product_category],Table1[[#This Row],[product_category]])</f>
        <v>12428.0</v>
      </c>
    </row>
    <row r="60">
      <c r="A60" s="1">
        <v>59.0</v>
      </c>
      <c r="B60" s="1" t="s">
        <v>21</v>
      </c>
      <c r="C60" s="1" t="s">
        <v>14</v>
      </c>
      <c r="D60" s="1">
        <v>2346.0</v>
      </c>
      <c r="E60" s="1" t="s">
        <v>15</v>
      </c>
      <c r="F60" s="2" t="s">
        <f t="shared" si="0"/>
        <v>12</v>
      </c>
      <c r="G60">
        <f>(@Table1[Category + Region total]/Table1[[#This Row],[Region_total]])*100</f>
        <v>29.7144433714995</v>
      </c>
      <c r="H60" s="2">
        <f>SUMIFS(Table1[revenue],Table1[region],Table1[[#This Row],[region]])</f>
        <v>28996.0</v>
      </c>
      <c r="I60">
        <f>SUMIFS(Table1[revenue],Table1[region],Table1[[#This Row],[region]],Table1[product_category],Table1[[#This Row],[product_category]])</f>
        <v>8616.0</v>
      </c>
    </row>
    <row r="61">
      <c r="A61" s="1">
        <v>60.0</v>
      </c>
      <c r="B61" s="1" t="s">
        <v>32</v>
      </c>
      <c r="C61" s="1" t="s">
        <v>34</v>
      </c>
      <c r="D61" s="1">
        <v>1255.0</v>
      </c>
      <c r="E61" s="1" t="s">
        <v>15</v>
      </c>
      <c r="F61" s="2" t="s">
        <f t="shared" si="0"/>
        <v>24</v>
      </c>
      <c r="G61">
        <f>(@Table1[Category + Region total]/Table1[[#This Row],[Region_total]])*100</f>
        <v>17.8660223412823</v>
      </c>
      <c r="H61" s="2">
        <f>SUMIFS(Table1[revenue],Table1[region],Table1[[#This Row],[region]])</f>
        <v>28557.0</v>
      </c>
      <c r="I61">
        <f>SUMIFS(Table1[revenue],Table1[region],Table1[[#This Row],[region]],Table1[product_category],Table1[[#This Row],[product_category]])</f>
        <v>5102.0</v>
      </c>
    </row>
    <row r="62">
      <c r="A62" s="1">
        <v>61.0</v>
      </c>
      <c r="B62" s="1" t="s">
        <v>29</v>
      </c>
      <c r="C62" s="1" t="s">
        <v>22</v>
      </c>
      <c r="D62" s="1">
        <v>1911.0</v>
      </c>
      <c r="E62" s="1" t="s">
        <v>20</v>
      </c>
      <c r="F62" s="2" t="s">
        <f t="shared" si="0"/>
        <v>24</v>
      </c>
      <c r="G62">
        <f>(@Table1[Category + Region total]/Table1[[#This Row],[Region_total]])*100</f>
        <v>22.207250282535</v>
      </c>
      <c r="H62" s="2">
        <f>SUMIFS(Table1[revenue],Table1[region],Table1[[#This Row],[region]])</f>
        <v>23006.0</v>
      </c>
      <c r="I62">
        <f>SUMIFS(Table1[revenue],Table1[region],Table1[[#This Row],[region]],Table1[product_category],Table1[[#This Row],[product_category]])</f>
        <v>5109.0</v>
      </c>
    </row>
    <row r="63">
      <c r="A63" s="1">
        <v>62.0</v>
      </c>
      <c r="B63" s="1" t="s">
        <v>32</v>
      </c>
      <c r="C63" s="1" t="s">
        <v>33</v>
      </c>
      <c r="D63" s="1">
        <v>4069.0</v>
      </c>
      <c r="E63" s="1" t="s">
        <v>20</v>
      </c>
      <c r="F63" s="2" t="s">
        <f t="shared" si="0"/>
        <v>12</v>
      </c>
      <c r="G63">
        <f>(@Table1[Category + Region total]/Table1[[#This Row],[Region_total]])*100</f>
        <v>57.2058208898514</v>
      </c>
      <c r="H63" s="2">
        <f>SUMIFS(Table1[revenue],Table1[region],Table1[[#This Row],[region]])</f>
        <v>26319.0</v>
      </c>
      <c r="I63">
        <f>SUMIFS(Table1[revenue],Table1[region],Table1[[#This Row],[region]],Table1[product_category],Table1[[#This Row],[product_category]])</f>
        <v>15056.0</v>
      </c>
    </row>
    <row r="64">
      <c r="A64" s="1">
        <v>63.0</v>
      </c>
      <c r="B64" s="1" t="s">
        <v>29</v>
      </c>
      <c r="C64" s="1" t="s">
        <v>16</v>
      </c>
      <c r="D64" s="1">
        <v>2103.0</v>
      </c>
      <c r="E64" s="1" t="s">
        <v>35</v>
      </c>
      <c r="F64" s="2" t="s">
        <f t="shared" si="0"/>
        <v>12</v>
      </c>
      <c r="G64">
        <f>(@Table1[Category + Region total]/Table1[[#This Row],[Region_total]])*100</f>
        <v>17.704280155642</v>
      </c>
      <c r="H64" s="2">
        <f>SUMIFS(Table1[revenue],Table1[region],Table1[[#This Row],[region]])</f>
        <v>30326.0</v>
      </c>
      <c r="I64">
        <f>SUMIFS(Table1[revenue],Table1[region],Table1[[#This Row],[region]],Table1[product_category],Table1[[#This Row],[product_category]])</f>
        <v>5369.0</v>
      </c>
    </row>
    <row r="65">
      <c r="A65" s="1">
        <v>64.0</v>
      </c>
      <c r="B65" s="1" t="s">
        <v>32</v>
      </c>
      <c r="C65" s="1" t="s">
        <v>40</v>
      </c>
      <c r="D65" s="1">
        <v>2539.0</v>
      </c>
      <c r="E65" s="1" t="s">
        <v>20</v>
      </c>
      <c r="F65" s="2" t="s">
        <f t="shared" si="0"/>
        <v>12</v>
      </c>
      <c r="G65">
        <f>(@Table1[Category + Region total]/Table1[[#This Row],[Region_total]])*100</f>
        <v>22.5145173233563</v>
      </c>
      <c r="H65" s="2">
        <f>SUMIFS(Table1[revenue],Table1[region],Table1[[#This Row],[region]])</f>
        <v>25659.0</v>
      </c>
      <c r="I65">
        <f>SUMIFS(Table1[revenue],Table1[region],Table1[[#This Row],[region]],Table1[product_category],Table1[[#This Row],[product_category]])</f>
        <v>5777.0</v>
      </c>
    </row>
    <row r="66">
      <c r="A66" s="1">
        <v>65.0</v>
      </c>
      <c r="B66" s="1" t="s">
        <v>9</v>
      </c>
      <c r="C66" s="1" t="s">
        <v>19</v>
      </c>
      <c r="D66" s="1">
        <v>3219.0</v>
      </c>
      <c r="E66" s="1" t="s">
        <v>23</v>
      </c>
      <c r="F66" s="2" t="s">
        <f t="shared" si="0"/>
        <v>12</v>
      </c>
      <c r="G66">
        <f>(@Table1[Category + Region total]/Table1[[#This Row],[Region_total]])*100</f>
        <v>9.58149779735682</v>
      </c>
      <c r="H66" s="2">
        <f>SUMIFS(Table1[revenue],Table1[region],Table1[[#This Row],[region]])</f>
        <v>33596.0</v>
      </c>
      <c r="I66">
        <f>SUMIFS(Table1[revenue],Table1[region],Table1[[#This Row],[region]],Table1[product_category],Table1[[#This Row],[product_category]])</f>
        <v>3219.0</v>
      </c>
    </row>
    <row r="67">
      <c r="A67" s="1">
        <v>66.0</v>
      </c>
      <c r="B67" s="1" t="s">
        <v>21</v>
      </c>
      <c r="C67" s="1" t="s">
        <v>34</v>
      </c>
      <c r="D67" s="1">
        <v>4018.0</v>
      </c>
      <c r="E67" s="1" t="s">
        <v>20</v>
      </c>
      <c r="F67" s="2" t="s">
        <f t="shared" si="0"/>
        <v>12</v>
      </c>
      <c r="G67">
        <f>(@Table1[Category + Region total]/Table1[[#This Row],[Region_total]])*100</f>
        <v>14.0701054032286</v>
      </c>
      <c r="H67" s="2">
        <f>SUMIFS(Table1[revenue],Table1[region],Table1[[#This Row],[region]])</f>
        <v>28557.0</v>
      </c>
      <c r="I67">
        <f>SUMIFS(Table1[revenue],Table1[region],Table1[[#This Row],[region]],Table1[product_category],Table1[[#This Row],[product_category]])</f>
        <v>4018.0</v>
      </c>
    </row>
    <row r="68">
      <c r="A68" s="1">
        <v>67.0</v>
      </c>
      <c r="B68" s="1" t="s">
        <v>21</v>
      </c>
      <c r="C68" s="1" t="s">
        <v>16</v>
      </c>
      <c r="D68" s="1">
        <v>3673.0</v>
      </c>
      <c r="E68" s="1" t="s">
        <v>11</v>
      </c>
      <c r="F68" s="2" t="s">
        <f t="shared" si="0"/>
        <v>12</v>
      </c>
      <c r="G68">
        <f>(@Table1[Category + Region total]/Table1[[#This Row],[Region_total]])*100</f>
        <v>22.7098859064829</v>
      </c>
      <c r="H68" s="2">
        <f>SUMIFS(Table1[revenue],Table1[region],Table1[[#This Row],[region]])</f>
        <v>30326.0</v>
      </c>
      <c r="I68">
        <f>SUMIFS(Table1[revenue],Table1[region],Table1[[#This Row],[region]],Table1[product_category],Table1[[#This Row],[product_category]])</f>
        <v>6887.0</v>
      </c>
    </row>
    <row r="69">
      <c r="A69" s="1">
        <v>68.0</v>
      </c>
      <c r="B69" s="1" t="s">
        <v>21</v>
      </c>
      <c r="C69" s="1" t="s">
        <v>40</v>
      </c>
      <c r="D69" s="1">
        <v>4919.0</v>
      </c>
      <c r="E69" s="1" t="s">
        <v>35</v>
      </c>
      <c r="F69" s="2" t="s">
        <f t="shared" si="0"/>
        <v>12</v>
      </c>
      <c r="G69">
        <f>(@Table1[Category + Region total]/Table1[[#This Row],[Region_total]])*100</f>
        <v>19.1706613663821</v>
      </c>
      <c r="H69" s="2">
        <f>SUMIFS(Table1[revenue],Table1[region],Table1[[#This Row],[region]])</f>
        <v>25659.0</v>
      </c>
      <c r="I69">
        <f>SUMIFS(Table1[revenue],Table1[region],Table1[[#This Row],[region]],Table1[product_category],Table1[[#This Row],[product_category]])</f>
        <v>4919.0</v>
      </c>
    </row>
    <row r="70">
      <c r="A70" s="1">
        <v>69.0</v>
      </c>
      <c r="B70" s="1" t="s">
        <v>9</v>
      </c>
      <c r="C70" s="1" t="s">
        <v>31</v>
      </c>
      <c r="D70" s="1">
        <v>2287.0</v>
      </c>
      <c r="E70" s="1" t="s">
        <v>20</v>
      </c>
      <c r="F70" s="2" t="s">
        <f t="shared" si="0"/>
        <v>12</v>
      </c>
      <c r="G70">
        <f>(@Table1[Category + Region total]/Table1[[#This Row],[Region_total]])*100</f>
        <v>33.847623458577</v>
      </c>
      <c r="H70" s="2">
        <f>SUMIFS(Table1[revenue],Table1[region],Table1[[#This Row],[region]])</f>
        <v>34546.0</v>
      </c>
      <c r="I70">
        <f>SUMIFS(Table1[revenue],Table1[region],Table1[[#This Row],[region]],Table1[product_category],Table1[[#This Row],[product_category]])</f>
        <v>11693.0</v>
      </c>
    </row>
    <row r="71">
      <c r="A71" s="1">
        <v>70.0</v>
      </c>
      <c r="B71" s="1" t="s">
        <v>21</v>
      </c>
      <c r="C71" s="1" t="s">
        <v>19</v>
      </c>
      <c r="D71" s="1">
        <v>2639.0</v>
      </c>
      <c r="E71" s="1" t="s">
        <v>36</v>
      </c>
      <c r="F71" s="2" t="s">
        <f t="shared" si="0"/>
        <v>12</v>
      </c>
      <c r="G71">
        <f>(@Table1[Category + Region total]/Table1[[#This Row],[Region_total]])*100</f>
        <v>46.8597452077628</v>
      </c>
      <c r="H71" s="2">
        <f>SUMIFS(Table1[revenue],Table1[region],Table1[[#This Row],[region]])</f>
        <v>33596.0</v>
      </c>
      <c r="I71">
        <f>SUMIFS(Table1[revenue],Table1[region],Table1[[#This Row],[region]],Table1[product_category],Table1[[#This Row],[product_category]])</f>
        <v>15743.0</v>
      </c>
    </row>
    <row r="72">
      <c r="A72" s="1">
        <v>71.0</v>
      </c>
      <c r="B72" s="1" t="s">
        <v>37</v>
      </c>
      <c r="C72" s="1" t="s">
        <v>27</v>
      </c>
      <c r="D72" s="1">
        <v>2856.0</v>
      </c>
      <c r="E72" s="1" t="s">
        <v>25</v>
      </c>
      <c r="F72" s="2" t="s">
        <f t="shared" si="0"/>
        <v>12</v>
      </c>
      <c r="G72">
        <f>(@Table1[Category + Region total]/Table1[[#This Row],[Region_total]])*100</f>
        <v>7.57238307349666</v>
      </c>
      <c r="H72" s="2">
        <f>SUMIFS(Table1[revenue],Table1[region],Table1[[#This Row],[region]])</f>
        <v>37716.0</v>
      </c>
      <c r="I72">
        <f>SUMIFS(Table1[revenue],Table1[region],Table1[[#This Row],[region]],Table1[product_category],Table1[[#This Row],[product_category]])</f>
        <v>2856.0</v>
      </c>
    </row>
    <row r="73">
      <c r="A73" s="1">
        <v>72.0</v>
      </c>
      <c r="B73" s="1" t="s">
        <v>13</v>
      </c>
      <c r="C73" s="1" t="s">
        <v>33</v>
      </c>
      <c r="D73" s="1">
        <v>3488.0</v>
      </c>
      <c r="E73" s="1" t="s">
        <v>39</v>
      </c>
      <c r="F73" s="2" t="s">
        <f t="shared" si="0"/>
        <v>12</v>
      </c>
      <c r="G73">
        <f>(@Table1[Category + Region total]/Table1[[#This Row],[Region_total]])*100</f>
        <v>13.2527831604544</v>
      </c>
      <c r="H73" s="2">
        <f>SUMIFS(Table1[revenue],Table1[region],Table1[[#This Row],[region]])</f>
        <v>26319.0</v>
      </c>
      <c r="I73">
        <f>SUMIFS(Table1[revenue],Table1[region],Table1[[#This Row],[region]],Table1[product_category],Table1[[#This Row],[product_category]])</f>
        <v>3488.0</v>
      </c>
    </row>
    <row r="74">
      <c r="A74" s="1">
        <v>73.0</v>
      </c>
      <c r="B74" s="1" t="s">
        <v>29</v>
      </c>
      <c r="C74" s="1" t="s">
        <v>10</v>
      </c>
      <c r="D74" s="1">
        <v>1628.0</v>
      </c>
      <c r="E74" s="1" t="s">
        <v>25</v>
      </c>
      <c r="F74" s="2" t="s">
        <f t="shared" si="0"/>
        <v>24</v>
      </c>
      <c r="G74">
        <f>(@Table1[Category + Region total]/Table1[[#This Row],[Region_total]])*100</f>
        <v>38.7273690442803</v>
      </c>
      <c r="H74" s="2">
        <f>SUMIFS(Table1[revenue],Table1[region],Table1[[#This Row],[region]])</f>
        <v>32091.0</v>
      </c>
      <c r="I74">
        <f>SUMIFS(Table1[revenue],Table1[region],Table1[[#This Row],[region]],Table1[product_category],Table1[[#This Row],[product_category]])</f>
        <v>12428.0</v>
      </c>
    </row>
    <row r="75">
      <c r="A75" s="1">
        <v>74.0</v>
      </c>
      <c r="B75" s="1" t="s">
        <v>21</v>
      </c>
      <c r="C75" s="1" t="s">
        <v>14</v>
      </c>
      <c r="D75" s="1">
        <v>4676.0</v>
      </c>
      <c r="E75" s="1" t="s">
        <v>28</v>
      </c>
      <c r="F75" s="2" t="s">
        <f t="shared" si="0"/>
        <v>12</v>
      </c>
      <c r="G75">
        <f>(@Table1[Category + Region total]/Table1[[#This Row],[Region_total]])*100</f>
        <v>16.126362256863</v>
      </c>
      <c r="H75" s="2">
        <f>SUMIFS(Table1[revenue],Table1[region],Table1[[#This Row],[region]])</f>
        <v>28996.0</v>
      </c>
      <c r="I75">
        <f>SUMIFS(Table1[revenue],Table1[region],Table1[[#This Row],[region]],Table1[product_category],Table1[[#This Row],[product_category]])</f>
        <v>4676.0</v>
      </c>
    </row>
    <row r="76">
      <c r="A76" s="1">
        <v>75.0</v>
      </c>
      <c r="B76" s="1" t="s">
        <v>38</v>
      </c>
      <c r="C76" s="1" t="s">
        <v>19</v>
      </c>
      <c r="D76" s="1">
        <v>4994.0</v>
      </c>
      <c r="E76" s="1" t="s">
        <v>36</v>
      </c>
      <c r="F76" s="2" t="s">
        <f t="shared" si="0"/>
        <v>12</v>
      </c>
      <c r="G76">
        <f>(@Table1[Category + Region total]/Table1[[#This Row],[Region_total]])*100</f>
        <v>46.8597452077628</v>
      </c>
      <c r="H76" s="2">
        <f>SUMIFS(Table1[revenue],Table1[region],Table1[[#This Row],[region]])</f>
        <v>33596.0</v>
      </c>
      <c r="I76">
        <f>SUMIFS(Table1[revenue],Table1[region],Table1[[#This Row],[region]],Table1[product_category],Table1[[#This Row],[product_category]])</f>
        <v>15743.0</v>
      </c>
    </row>
    <row r="77">
      <c r="A77" s="1">
        <v>76.0</v>
      </c>
      <c r="B77" s="1" t="s">
        <v>9</v>
      </c>
      <c r="C77" s="1" t="s">
        <v>16</v>
      </c>
      <c r="D77" s="1">
        <v>4924.0</v>
      </c>
      <c r="E77" s="1" t="s">
        <v>36</v>
      </c>
      <c r="F77" s="2" t="s">
        <f t="shared" si="0"/>
        <v>12</v>
      </c>
      <c r="G77">
        <f>(@Table1[Category + Region total]/Table1[[#This Row],[Region_total]])*100</f>
        <v>16.2368924355339</v>
      </c>
      <c r="H77" s="2">
        <f>SUMIFS(Table1[revenue],Table1[region],Table1[[#This Row],[region]])</f>
        <v>30326.0</v>
      </c>
      <c r="I77">
        <f>SUMIFS(Table1[revenue],Table1[region],Table1[[#This Row],[region]],Table1[product_category],Table1[[#This Row],[product_category]])</f>
        <v>4924.0</v>
      </c>
    </row>
    <row r="78">
      <c r="A78" s="1">
        <v>77.0</v>
      </c>
      <c r="B78" s="1" t="s">
        <v>38</v>
      </c>
      <c r="C78" s="1" t="s">
        <v>22</v>
      </c>
      <c r="D78" s="1">
        <v>2565.0</v>
      </c>
      <c r="E78" s="1" t="s">
        <v>39</v>
      </c>
      <c r="F78" s="2" t="s">
        <f t="shared" si="0"/>
        <v>12</v>
      </c>
      <c r="G78">
        <f>(@Table1[Category + Region total]/Table1[[#This Row],[Region_total]])*100</f>
        <v>27.0146918195253</v>
      </c>
      <c r="H78" s="2">
        <f>SUMIFS(Table1[revenue],Table1[region],Table1[[#This Row],[region]])</f>
        <v>23006.0</v>
      </c>
      <c r="I78">
        <f>SUMIFS(Table1[revenue],Table1[region],Table1[[#This Row],[region]],Table1[product_category],Table1[[#This Row],[product_category]])</f>
        <v>6215.0</v>
      </c>
    </row>
    <row r="79">
      <c r="A79" s="1">
        <v>78.0</v>
      </c>
      <c r="B79" s="1" t="s">
        <v>32</v>
      </c>
      <c r="C79" s="1" t="s">
        <v>27</v>
      </c>
      <c r="D79" s="1">
        <v>2123.0</v>
      </c>
      <c r="E79" s="1" t="s">
        <v>36</v>
      </c>
      <c r="F79" s="2" t="s">
        <f t="shared" si="0"/>
        <v>12</v>
      </c>
      <c r="G79">
        <f>(@Table1[Category + Region total]/Table1[[#This Row],[Region_total]])*100</f>
        <v>11.6237140736027</v>
      </c>
      <c r="H79" s="2">
        <f>SUMIFS(Table1[revenue],Table1[region],Table1[[#This Row],[region]])</f>
        <v>37716.0</v>
      </c>
      <c r="I79">
        <f>SUMIFS(Table1[revenue],Table1[region],Table1[[#This Row],[region]],Table1[product_category],Table1[[#This Row],[product_category]])</f>
        <v>4384.0</v>
      </c>
    </row>
    <row r="80">
      <c r="A80" s="1">
        <v>79.0</v>
      </c>
      <c r="B80" s="1" t="s">
        <v>21</v>
      </c>
      <c r="C80" s="1" t="s">
        <v>16</v>
      </c>
      <c r="D80" s="1">
        <v>2019.0</v>
      </c>
      <c r="E80" s="1" t="s">
        <v>23</v>
      </c>
      <c r="F80" s="2" t="s">
        <f t="shared" si="0"/>
        <v>12</v>
      </c>
      <c r="G80">
        <f>(@Table1[Category + Region total]/Table1[[#This Row],[Region_total]])*100</f>
        <v>6.65765349864802</v>
      </c>
      <c r="H80" s="2">
        <f>SUMIFS(Table1[revenue],Table1[region],Table1[[#This Row],[region]])</f>
        <v>30326.0</v>
      </c>
      <c r="I80">
        <f>SUMIFS(Table1[revenue],Table1[region],Table1[[#This Row],[region]],Table1[product_category],Table1[[#This Row],[product_category]])</f>
        <v>2019.0</v>
      </c>
    </row>
    <row r="81">
      <c r="A81" s="1">
        <v>80.0</v>
      </c>
      <c r="B81" s="1" t="s">
        <v>26</v>
      </c>
      <c r="C81" s="1" t="s">
        <v>34</v>
      </c>
      <c r="D81" s="1">
        <v>1757.0</v>
      </c>
      <c r="E81" s="1" t="s">
        <v>39</v>
      </c>
      <c r="F81" s="2" t="s">
        <f t="shared" si="0"/>
        <v>24</v>
      </c>
      <c r="G81">
        <f>(@Table1[Category + Region total]/Table1[[#This Row],[Region_total]])*100</f>
        <v>6.15260706656861</v>
      </c>
      <c r="H81" s="2">
        <f>SUMIFS(Table1[revenue],Table1[region],Table1[[#This Row],[region]])</f>
        <v>28557.0</v>
      </c>
      <c r="I81">
        <f>SUMIFS(Table1[revenue],Table1[region],Table1[[#This Row],[region]],Table1[product_category],Table1[[#This Row],[product_category]])</f>
        <v>1757.0</v>
      </c>
    </row>
    <row r="82">
      <c r="A82" s="1">
        <v>81.0</v>
      </c>
      <c r="B82" s="1" t="s">
        <v>32</v>
      </c>
      <c r="C82" s="1" t="s">
        <v>22</v>
      </c>
      <c r="D82" s="1">
        <v>3198.0</v>
      </c>
      <c r="E82" s="1" t="s">
        <v>20</v>
      </c>
      <c r="F82" s="2" t="s">
        <f t="shared" si="0"/>
        <v>12</v>
      </c>
      <c r="G82">
        <f>(@Table1[Category + Region total]/Table1[[#This Row],[Region_total]])*100</f>
        <v>22.207250282535</v>
      </c>
      <c r="H82" s="2">
        <f>SUMIFS(Table1[revenue],Table1[region],Table1[[#This Row],[region]])</f>
        <v>23006.0</v>
      </c>
      <c r="I82">
        <f>SUMIFS(Table1[revenue],Table1[region],Table1[[#This Row],[region]],Table1[product_category],Table1[[#This Row],[product_category]])</f>
        <v>5109.0</v>
      </c>
    </row>
    <row r="83">
      <c r="A83" s="1">
        <v>82.0</v>
      </c>
      <c r="B83" s="1" t="s">
        <v>18</v>
      </c>
      <c r="C83" s="1" t="s">
        <v>31</v>
      </c>
      <c r="D83" s="1">
        <v>4764.0</v>
      </c>
      <c r="E83" s="1" t="s">
        <v>11</v>
      </c>
      <c r="F83" s="2" t="s">
        <f t="shared" si="0"/>
        <v>12</v>
      </c>
      <c r="G83">
        <f>(@Table1[Category + Region total]/Table1[[#This Row],[Region_total]])*100</f>
        <v>24.3472471487292</v>
      </c>
      <c r="H83" s="2">
        <f>SUMIFS(Table1[revenue],Table1[region],Table1[[#This Row],[region]])</f>
        <v>34546.0</v>
      </c>
      <c r="I83">
        <f>SUMIFS(Table1[revenue],Table1[region],Table1[[#This Row],[region]],Table1[product_category],Table1[[#This Row],[product_category]])</f>
        <v>8411.0</v>
      </c>
    </row>
    <row r="84">
      <c r="A84" s="1">
        <v>83.0</v>
      </c>
      <c r="B84" s="1" t="s">
        <v>29</v>
      </c>
      <c r="C84" s="1" t="s">
        <v>33</v>
      </c>
      <c r="D84" s="1">
        <v>3712.0</v>
      </c>
      <c r="E84" s="1" t="s">
        <v>15</v>
      </c>
      <c r="F84" s="2" t="s">
        <f t="shared" si="0"/>
        <v>12</v>
      </c>
      <c r="G84">
        <f>(@Table1[Category + Region total]/Table1[[#This Row],[Region_total]])*100</f>
        <v>14.1038793267221</v>
      </c>
      <c r="H84" s="2">
        <f>SUMIFS(Table1[revenue],Table1[region],Table1[[#This Row],[region]])</f>
        <v>26319.0</v>
      </c>
      <c r="I84">
        <f>SUMIFS(Table1[revenue],Table1[region],Table1[[#This Row],[region]],Table1[product_category],Table1[[#This Row],[product_category]])</f>
        <v>3712.0</v>
      </c>
    </row>
    <row r="85">
      <c r="A85" s="1">
        <v>84.0</v>
      </c>
      <c r="B85" s="1" t="s">
        <v>13</v>
      </c>
      <c r="C85" s="1" t="s">
        <v>40</v>
      </c>
      <c r="D85" s="1">
        <v>3249.0</v>
      </c>
      <c r="E85" s="1" t="s">
        <v>11</v>
      </c>
      <c r="F85" s="2" t="s">
        <f t="shared" si="0"/>
        <v>12</v>
      </c>
      <c r="G85">
        <f>(@Table1[Category + Region total]/Table1[[#This Row],[Region_total]])*100</f>
        <v>18.2431115787832</v>
      </c>
      <c r="H85" s="2">
        <f>SUMIFS(Table1[revenue],Table1[region],Table1[[#This Row],[region]])</f>
        <v>25659.0</v>
      </c>
      <c r="I85">
        <f>SUMIFS(Table1[revenue],Table1[region],Table1[[#This Row],[region]],Table1[product_category],Table1[[#This Row],[product_category]])</f>
        <v>4681.0</v>
      </c>
    </row>
    <row r="86">
      <c r="A86" s="1">
        <v>85.0</v>
      </c>
      <c r="B86" s="1" t="s">
        <v>21</v>
      </c>
      <c r="C86" s="1" t="s">
        <v>40</v>
      </c>
      <c r="D86" s="1">
        <v>3665.0</v>
      </c>
      <c r="E86" s="1" t="s">
        <v>39</v>
      </c>
      <c r="F86" s="2" t="s">
        <f t="shared" si="0"/>
        <v>12</v>
      </c>
      <c r="G86">
        <f>(@Table1[Category + Region total]/Table1[[#This Row],[Region_total]])*100</f>
        <v>21.9143380490276</v>
      </c>
      <c r="H86" s="2">
        <f>SUMIFS(Table1[revenue],Table1[region],Table1[[#This Row],[region]])</f>
        <v>25659.0</v>
      </c>
      <c r="I86">
        <f>SUMIFS(Table1[revenue],Table1[region],Table1[[#This Row],[region]],Table1[product_category],Table1[[#This Row],[product_category]])</f>
        <v>5623.0</v>
      </c>
    </row>
    <row r="87">
      <c r="A87" s="1">
        <v>86.0</v>
      </c>
      <c r="B87" s="1" t="s">
        <v>30</v>
      </c>
      <c r="C87" s="1" t="s">
        <v>16</v>
      </c>
      <c r="D87" s="1">
        <v>3214.0</v>
      </c>
      <c r="E87" s="1" t="s">
        <v>11</v>
      </c>
      <c r="F87" s="2" t="s">
        <f t="shared" si="0"/>
        <v>12</v>
      </c>
      <c r="G87">
        <f>(@Table1[Category + Region total]/Table1[[#This Row],[Region_total]])*100</f>
        <v>22.7098859064829</v>
      </c>
      <c r="H87" s="2">
        <f>SUMIFS(Table1[revenue],Table1[region],Table1[[#This Row],[region]])</f>
        <v>30326.0</v>
      </c>
      <c r="I87">
        <f>SUMIFS(Table1[revenue],Table1[region],Table1[[#This Row],[region]],Table1[product_category],Table1[[#This Row],[product_category]])</f>
        <v>6887.0</v>
      </c>
    </row>
    <row r="88">
      <c r="A88" s="1">
        <v>87.0</v>
      </c>
      <c r="B88" s="1" t="s">
        <v>30</v>
      </c>
      <c r="C88" s="1" t="s">
        <v>31</v>
      </c>
      <c r="D88" s="1">
        <v>1939.0</v>
      </c>
      <c r="E88" s="1" t="s">
        <v>35</v>
      </c>
      <c r="F88" s="2" t="s">
        <f t="shared" si="0"/>
        <v>24</v>
      </c>
      <c r="G88">
        <f>(@Table1[Category + Region total]/Table1[[#This Row],[Region_total]])*100</f>
        <v>27.24772766746</v>
      </c>
      <c r="H88" s="2">
        <f>SUMIFS(Table1[revenue],Table1[region],Table1[[#This Row],[region]])</f>
        <v>34546.0</v>
      </c>
      <c r="I88">
        <f>SUMIFS(Table1[revenue],Table1[region],Table1[[#This Row],[region]],Table1[product_category],Table1[[#This Row],[product_category]])</f>
        <v>9413.0</v>
      </c>
    </row>
    <row r="89">
      <c r="A89" s="1">
        <v>88.0</v>
      </c>
      <c r="B89" s="1" t="s">
        <v>32</v>
      </c>
      <c r="C89" s="1" t="s">
        <v>33</v>
      </c>
      <c r="D89" s="1">
        <v>1960.0</v>
      </c>
      <c r="E89" s="1" t="s">
        <v>25</v>
      </c>
      <c r="F89" s="2" t="s">
        <f t="shared" si="0"/>
        <v>24</v>
      </c>
      <c r="G89">
        <f>(@Table1[Category + Region total]/Table1[[#This Row],[Region_total]])*100</f>
        <v>7.44709145484251</v>
      </c>
      <c r="H89" s="2">
        <f>SUMIFS(Table1[revenue],Table1[region],Table1[[#This Row],[region]])</f>
        <v>26319.0</v>
      </c>
      <c r="I89">
        <f>SUMIFS(Table1[revenue],Table1[region],Table1[[#This Row],[region]],Table1[product_category],Table1[[#This Row],[product_category]])</f>
        <v>1960.0</v>
      </c>
    </row>
    <row r="90">
      <c r="A90" s="1">
        <v>89.0</v>
      </c>
      <c r="B90" s="1" t="s">
        <v>26</v>
      </c>
      <c r="C90" s="1" t="s">
        <v>31</v>
      </c>
      <c r="D90" s="1">
        <v>3398.0</v>
      </c>
      <c r="E90" s="1" t="s">
        <v>15</v>
      </c>
      <c r="F90" s="2" t="s">
        <f t="shared" si="0"/>
        <v>12</v>
      </c>
      <c r="G90">
        <f>(@Table1[Category + Region total]/Table1[[#This Row],[Region_total]])*100</f>
        <v>14.5574017252359</v>
      </c>
      <c r="H90" s="2">
        <f>SUMIFS(Table1[revenue],Table1[region],Table1[[#This Row],[region]])</f>
        <v>34546.0</v>
      </c>
      <c r="I90">
        <f>SUMIFS(Table1[revenue],Table1[region],Table1[[#This Row],[region]],Table1[product_category],Table1[[#This Row],[product_category]])</f>
        <v>5029.0</v>
      </c>
    </row>
    <row r="91">
      <c r="A91" s="1">
        <v>90.0</v>
      </c>
      <c r="B91" s="1" t="s">
        <v>9</v>
      </c>
      <c r="C91" s="1" t="s">
        <v>19</v>
      </c>
      <c r="D91" s="1">
        <v>1934.0</v>
      </c>
      <c r="E91" s="1" t="s">
        <v>28</v>
      </c>
      <c r="F91" s="2" t="s">
        <f t="shared" si="0"/>
        <v>24</v>
      </c>
      <c r="G91">
        <f>(@Table1[Category + Region total]/Table1[[#This Row],[Region_total]])*100</f>
        <v>18.6927015120848</v>
      </c>
      <c r="H91" s="2">
        <f>SUMIFS(Table1[revenue],Table1[region],Table1[[#This Row],[region]])</f>
        <v>33596.0</v>
      </c>
      <c r="I91">
        <f>SUMIFS(Table1[revenue],Table1[region],Table1[[#This Row],[region]],Table1[product_category],Table1[[#This Row],[product_category]])</f>
        <v>6280.0</v>
      </c>
    </row>
    <row r="92">
      <c r="A92" s="1">
        <v>91.0</v>
      </c>
      <c r="B92" s="1" t="s">
        <v>29</v>
      </c>
      <c r="C92" s="1" t="s">
        <v>31</v>
      </c>
      <c r="D92" s="1">
        <v>1221.0</v>
      </c>
      <c r="E92" s="1" t="s">
        <v>20</v>
      </c>
      <c r="F92" s="2" t="s">
        <f t="shared" si="0"/>
        <v>24</v>
      </c>
      <c r="G92">
        <f>(@Table1[Category + Region total]/Table1[[#This Row],[Region_total]])*100</f>
        <v>33.847623458577</v>
      </c>
      <c r="H92" s="2">
        <f>SUMIFS(Table1[revenue],Table1[region],Table1[[#This Row],[region]])</f>
        <v>34546.0</v>
      </c>
      <c r="I92">
        <f>SUMIFS(Table1[revenue],Table1[region],Table1[[#This Row],[region]],Table1[product_category],Table1[[#This Row],[product_category]])</f>
        <v>11693.0</v>
      </c>
    </row>
    <row r="93">
      <c r="A93" s="1">
        <v>92.0</v>
      </c>
      <c r="B93" s="1" t="s">
        <v>38</v>
      </c>
      <c r="C93" s="1" t="s">
        <v>27</v>
      </c>
      <c r="D93" s="1">
        <v>4583.0</v>
      </c>
      <c r="E93" s="1" t="s">
        <v>20</v>
      </c>
      <c r="F93" s="2" t="s">
        <f t="shared" si="0"/>
        <v>12</v>
      </c>
      <c r="G93">
        <f>(@Table1[Category + Region total]/Table1[[#This Row],[Region_total]])*100</f>
        <v>23.745890338318</v>
      </c>
      <c r="H93" s="2">
        <f>SUMIFS(Table1[revenue],Table1[region],Table1[[#This Row],[region]])</f>
        <v>37716.0</v>
      </c>
      <c r="I93">
        <f>SUMIFS(Table1[revenue],Table1[region],Table1[[#This Row],[region]],Table1[product_category],Table1[[#This Row],[product_category]])</f>
        <v>8956.0</v>
      </c>
    </row>
    <row r="94">
      <c r="A94" s="1">
        <v>93.0</v>
      </c>
      <c r="B94" s="1" t="s">
        <v>9</v>
      </c>
      <c r="C94" s="1" t="s">
        <v>33</v>
      </c>
      <c r="D94" s="1">
        <v>2103.0</v>
      </c>
      <c r="E94" s="1" t="s">
        <v>11</v>
      </c>
      <c r="F94" s="2" t="s">
        <f t="shared" si="0"/>
        <v>12</v>
      </c>
      <c r="G94">
        <f>(@Table1[Category + Region total]/Table1[[#This Row],[Region_total]])*100</f>
        <v>7.9904251681294</v>
      </c>
      <c r="H94" s="2">
        <f>SUMIFS(Table1[revenue],Table1[region],Table1[[#This Row],[region]])</f>
        <v>26319.0</v>
      </c>
      <c r="I94">
        <f>SUMIFS(Table1[revenue],Table1[region],Table1[[#This Row],[region]],Table1[product_category],Table1[[#This Row],[product_category]])</f>
        <v>2103.0</v>
      </c>
    </row>
    <row r="95">
      <c r="A95" s="1">
        <v>94.0</v>
      </c>
      <c r="B95" s="1" t="s">
        <v>29</v>
      </c>
      <c r="C95" s="1" t="s">
        <v>27</v>
      </c>
      <c r="D95" s="1">
        <v>2792.0</v>
      </c>
      <c r="E95" s="1" t="s">
        <v>28</v>
      </c>
      <c r="F95" s="2" t="s">
        <f t="shared" si="0"/>
        <v>12</v>
      </c>
      <c r="G95">
        <f>(@Table1[Category + Region total]/Table1[[#This Row],[Region_total]])*100</f>
        <v>16.12047937214</v>
      </c>
      <c r="H95" s="2">
        <f>SUMIFS(Table1[revenue],Table1[region],Table1[[#This Row],[region]])</f>
        <v>37716.0</v>
      </c>
      <c r="I95">
        <f>SUMIFS(Table1[revenue],Table1[region],Table1[[#This Row],[region]],Table1[product_category],Table1[[#This Row],[product_category]])</f>
        <v>6080.0</v>
      </c>
    </row>
    <row r="96">
      <c r="A96" s="1">
        <v>95.0</v>
      </c>
      <c r="B96" s="1" t="s">
        <v>21</v>
      </c>
      <c r="C96" s="1" t="s">
        <v>27</v>
      </c>
      <c r="D96" s="1">
        <v>2261.0</v>
      </c>
      <c r="E96" s="1" t="s">
        <v>36</v>
      </c>
      <c r="F96" s="2" t="s">
        <f t="shared" si="0"/>
        <v>12</v>
      </c>
      <c r="G96">
        <f>(@Table1[Category + Region total]/Table1[[#This Row],[Region_total]])*100</f>
        <v>11.6237140736027</v>
      </c>
      <c r="H96" s="2">
        <f>SUMIFS(Table1[revenue],Table1[region],Table1[[#This Row],[region]])</f>
        <v>37716.0</v>
      </c>
      <c r="I96">
        <f>SUMIFS(Table1[revenue],Table1[region],Table1[[#This Row],[region]],Table1[product_category],Table1[[#This Row],[product_category]])</f>
        <v>4384.0</v>
      </c>
    </row>
    <row r="97">
      <c r="A97" s="1">
        <v>96.0</v>
      </c>
      <c r="B97" s="1" t="s">
        <v>37</v>
      </c>
      <c r="C97" s="1" t="s">
        <v>14</v>
      </c>
      <c r="D97" s="1">
        <v>4292.0</v>
      </c>
      <c r="E97" s="1" t="s">
        <v>25</v>
      </c>
      <c r="F97" s="2" t="s">
        <f t="shared" si="0"/>
        <v>12</v>
      </c>
      <c r="G97">
        <f>(@Table1[Category + Region total]/Table1[[#This Row],[Region_total]])*100</f>
        <v>14.8020416609187</v>
      </c>
      <c r="H97" s="2">
        <f>SUMIFS(Table1[revenue],Table1[region],Table1[[#This Row],[region]])</f>
        <v>28996.0</v>
      </c>
      <c r="I97">
        <f>SUMIFS(Table1[revenue],Table1[region],Table1[[#This Row],[region]],Table1[product_category],Table1[[#This Row],[product_category]])</f>
        <v>4292.0</v>
      </c>
    </row>
    <row r="98">
      <c r="A98" s="1">
        <v>97.0</v>
      </c>
      <c r="B98" s="1" t="s">
        <v>9</v>
      </c>
      <c r="C98" s="1" t="s">
        <v>40</v>
      </c>
      <c r="D98" s="1">
        <v>1958.0</v>
      </c>
      <c r="E98" s="1" t="s">
        <v>39</v>
      </c>
      <c r="F98" s="2" t="s">
        <f t="shared" si="0"/>
        <v>24</v>
      </c>
      <c r="G98">
        <f>(@Table1[Category + Region total]/Table1[[#This Row],[Region_total]])*100</f>
        <v>21.9143380490276</v>
      </c>
      <c r="H98" s="2">
        <f>SUMIFS(Table1[revenue],Table1[region],Table1[[#This Row],[region]])</f>
        <v>25659.0</v>
      </c>
      <c r="I98">
        <f>SUMIFS(Table1[revenue],Table1[region],Table1[[#This Row],[region]],Table1[product_category],Table1[[#This Row],[product_category]])</f>
        <v>5623.0</v>
      </c>
    </row>
    <row r="99">
      <c r="A99" s="1">
        <v>98.0</v>
      </c>
      <c r="B99" s="1" t="s">
        <v>30</v>
      </c>
      <c r="C99" s="1" t="s">
        <v>40</v>
      </c>
      <c r="D99" s="1">
        <v>1432.0</v>
      </c>
      <c r="E99" s="1" t="s">
        <v>11</v>
      </c>
      <c r="F99" s="2" t="s">
        <f t="shared" si="0"/>
        <v>24</v>
      </c>
      <c r="G99">
        <f>(@Table1[Category + Region total]/Table1[[#This Row],[Region_total]])*100</f>
        <v>18.2431115787832</v>
      </c>
      <c r="H99" s="2">
        <f>SUMIFS(Table1[revenue],Table1[region],Table1[[#This Row],[region]])</f>
        <v>25659.0</v>
      </c>
      <c r="I99">
        <f>SUMIFS(Table1[revenue],Table1[region],Table1[[#This Row],[region]],Table1[product_category],Table1[[#This Row],[product_category]])</f>
        <v>4681.0</v>
      </c>
    </row>
    <row r="100">
      <c r="A100" s="1">
        <v>99.0</v>
      </c>
      <c r="B100" s="1" t="s">
        <v>38</v>
      </c>
      <c r="C100" s="1" t="s">
        <v>10</v>
      </c>
      <c r="D100" s="1">
        <v>4286.0</v>
      </c>
      <c r="E100" s="1" t="s">
        <v>36</v>
      </c>
      <c r="F100" s="2" t="s">
        <f t="shared" si="0"/>
        <v>12</v>
      </c>
      <c r="G100">
        <f>(@Table1[Category + Region total]/Table1[[#This Row],[Region_total]])*100</f>
        <v>20.6631142687981</v>
      </c>
      <c r="H100" s="2">
        <f>SUMIFS(Table1[revenue],Table1[region],Table1[[#This Row],[region]])</f>
        <v>32091.0</v>
      </c>
      <c r="I100">
        <f>SUMIFS(Table1[revenue],Table1[region],Table1[[#This Row],[region]],Table1[product_category],Table1[[#This Row],[product_category]])</f>
        <v>6631.0</v>
      </c>
    </row>
    <row r="101">
      <c r="A101" s="1">
        <v>100.0</v>
      </c>
      <c r="B101" s="1" t="s">
        <v>9</v>
      </c>
      <c r="C101" s="1" t="s">
        <v>27</v>
      </c>
      <c r="D101" s="1">
        <v>3975.0</v>
      </c>
      <c r="E101" s="1" t="s">
        <v>11</v>
      </c>
      <c r="F101" s="2" t="s">
        <f t="shared" si="0"/>
        <v>12</v>
      </c>
      <c r="G101">
        <f>(@Table1[Category + Region total]/Table1[[#This Row],[Region_total]])*100</f>
        <v>14.1902640789055</v>
      </c>
      <c r="H101" s="2">
        <f>SUMIFS(Table1[revenue],Table1[region],Table1[[#This Row],[region]])</f>
        <v>37716.0</v>
      </c>
      <c r="I101">
        <f>SUMIFS(Table1[revenue],Table1[region],Table1[[#This Row],[region]],Table1[product_category],Table1[[#This Row],[product_category]])</f>
        <v>5352.0</v>
      </c>
    </row>
  </sheetData>
  <tableParts count="1">
    <tablePart r:id="rId1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13"/>
  <sheetViews>
    <sheetView workbookViewId="0"/>
  </sheetViews>
  <sheetFormatPr defaultRowHeight="14.0" customHeight="1"/>
  <cols>
    <col min="1" max="1" width="23.18"/>
    <col min="2" max="2" width="12.85"/>
    <col min="3" max="3" width="9.14"/>
    <col min="4" max="4" width="12.05"/>
    <col min="5" max="5" width="9.4"/>
    <col min="6" max="6" width="11.65"/>
    <col min="7" max="7" width="12.18"/>
    <col min="8" max="8" width="9.67"/>
    <col min="9" max="9" width="10.86"/>
    <col min="10" max="10" width="9.0"/>
    <col min="11" max="11" width="9.0"/>
    <col min="12" max="12" width="12.58"/>
  </cols>
  <sheetData>
    <row r="1"/>
    <row r="2"/>
    <row r="3"/>
    <row r="4"/>
    <row r="5"/>
    <row r="6"/>
    <row r="7"/>
    <row r="8"/>
    <row r="9"/>
    <row r="10"/>
    <row r="11"/>
    <row r="12"/>
    <row r="13"/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2026-04-19T08:07:19Z</dcterms:created>
</cp:coreProperties>
</file>