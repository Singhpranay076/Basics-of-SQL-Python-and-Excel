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<sst xmlns="http://schemas.openxmlformats.org/spreadsheetml/2006/main" count="26" uniqueCount="26">
  <si>
    <t>Month</t>
  </si>
  <si>
    <t>Actual_Demand</t>
  </si>
  <si>
    <t>3MA Forecast</t>
  </si>
  <si>
    <t>ES    (a = 0.5)</t>
  </si>
  <si>
    <t>Error 3MA</t>
  </si>
  <si>
    <t>Error ES</t>
  </si>
  <si>
    <t>% Error  3MA</t>
  </si>
  <si>
    <t>% Error  ES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</si>
  <si>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</si>
  <si>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</si>
  <si>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</si>
  <si>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</si>
  <si>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</si>
  <si>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</si>
  <si>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</si>
  <si>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</si>
  <si>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</si>
  <si>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</si>
  <si>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</si>
  <si>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</si>
  <si>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Metric</t>
  </si>
  <si>
    <t>3 MA</t>
  </si>
  <si>
    <t>ES</t>
  </si>
  <si>
    <t>MAPE</t>
  </si>
  <si>
    <t>Bias</t>
  </si>
  <si>
    <t>Std. Dev. of Errors</t>
  </si>
</sst>
</file>

<file path=xl/styles.xml><?xml version="1.0" encoding="utf-8"?>
<styleSheet xmlns="http://schemas.openxmlformats.org/spreadsheetml/2006/main">
  <numFmts count="1">
    <numFmt formatCode="#0.00" numFmtId="164"/>
  </numFmts>
  <fonts count="4">
    <font>
      <sz val="10"/>
      <color rgb="FF000000"/>
      <name val="Roboto"/>
    </font>
    <font>
      <sz val="10"/>
      <color rgb="FFE31414"/>
      <name val="Roboto"/>
    </font>
    <font>
      <sz val="10"/>
      <name val="Roboto"/>
    </font>
    <font>
      <sz val="10"/>
      <color rgb="FF2D3B4A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2" fontId="1" numFmtId="0" xfId="0">
      <alignment vertical="top"/>
    </xf>
    <xf borderId="0" fillId="0" fontId="2" numFmtId="0" xfId="0">
      <alignment vertical="top"/>
    </xf>
    <xf borderId="0" fillId="0" fontId="3" numFmtId="0" xfId="0">
      <alignment vertical="top"/>
    </xf>
    <xf borderId="0" fillId="0" fontId="2" numFmtId="164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20"/>
  <sheetViews>
    <sheetView workbookViewId="0"/>
  </sheetViews>
  <sheetFormatPr defaultRowHeight="14.0" customHeight="1"/>
  <cols>
    <col min="1" max="9" width="13.24"/>
    <col min="10" max="10" width="13.24"/>
    <col min="11" max="11" width="15.23"/>
    <col min="12" max="12" width="13.24"/>
    <col min="13" max="13" width="13.2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2" t="s">
        <v>7</v>
      </c>
    </row>
    <row r="2">
      <c r="A2" s="3" t="s">
        <v>8</v>
      </c>
      <c r="B2" s="2">
        <v>100.0</v>
      </c>
      <c r="C2" s="4">
        <v>0.0</v>
      </c>
      <c r="D2" s="4">
        <f>B2</f>
        <v>100.0</v>
      </c>
      <c r="E2" s="4">
        <v>0.0</v>
      </c>
      <c r="F2" s="4">
        <f t="shared" ref="F2:F13" si="1">ABS(B2-D2)</f>
        <v>0.0</v>
      </c>
      <c r="G2">
        <f t="shared" ref="G2:G13" si="2">(ABS(E2)/B2)*100</f>
        <v>0.0</v>
      </c>
      <c r="H2">
        <f t="shared" ref="H2:H13" si="3">(ABS(G2)/B2)*100</f>
        <v>0.0</v>
      </c>
    </row>
    <row r="3">
      <c r="A3" s="3" t="s">
        <v>9</v>
      </c>
      <c r="B3" s="2">
        <v>110.0</v>
      </c>
      <c r="C3" s="4">
        <v>0.0</v>
      </c>
      <c r="D3" s="4">
        <f t="shared" ref="D3:D13" si="4">0.5*B2+(1-0.5)*D2</f>
        <v>100.0</v>
      </c>
      <c r="E3" s="4">
        <v>0.0</v>
      </c>
      <c r="F3" s="4">
        <f t="shared" si="1"/>
        <v>10.0</v>
      </c>
      <c r="G3" s="2">
        <f t="shared" si="2"/>
        <v>0.0</v>
      </c>
      <c r="H3" s="2">
        <f t="shared" si="3"/>
        <v>0.0</v>
      </c>
    </row>
    <row r="4">
      <c r="A4" s="3" t="s">
        <v>10</v>
      </c>
      <c r="B4" s="2">
        <v>105.0</v>
      </c>
      <c r="C4" s="4">
        <v>0.0</v>
      </c>
      <c r="D4" s="4">
        <f t="shared" si="4"/>
        <v>105.0</v>
      </c>
      <c r="E4" s="4">
        <v>0.0</v>
      </c>
      <c r="F4" s="4">
        <f t="shared" si="1"/>
        <v>0.0</v>
      </c>
      <c r="G4" s="2">
        <f t="shared" si="2"/>
        <v>0.0</v>
      </c>
      <c r="H4" s="2">
        <f t="shared" si="3"/>
        <v>0.0</v>
      </c>
    </row>
    <row r="5">
      <c r="A5" s="3" t="s">
        <v>11</v>
      </c>
      <c r="B5" s="2">
        <v>130.0</v>
      </c>
      <c r="C5" s="4">
        <f t="shared" ref="C5:C13" si="5">AVERAGE(B2:B4)</f>
        <v>105.0</v>
      </c>
      <c r="D5" s="4">
        <f t="shared" si="4"/>
        <v>105.0</v>
      </c>
      <c r="E5" s="4">
        <f t="shared" ref="E5:E13" si="6">ABS(B5-C5)</f>
        <v>25.0</v>
      </c>
      <c r="F5" s="4">
        <f t="shared" si="1"/>
        <v>25.0</v>
      </c>
      <c r="G5" s="2">
        <f t="shared" si="2"/>
        <v>19.2307692307692</v>
      </c>
      <c r="H5" s="2">
        <f t="shared" si="3"/>
        <v>14.792899408283</v>
      </c>
    </row>
    <row r="6">
      <c r="A6" s="3" t="s">
        <v>12</v>
      </c>
      <c r="B6" s="2">
        <v>160.0</v>
      </c>
      <c r="C6" s="4">
        <f t="shared" si="5"/>
        <v>115.0</v>
      </c>
      <c r="D6" s="4">
        <f t="shared" si="4"/>
        <v>117.5</v>
      </c>
      <c r="E6" s="4">
        <f t="shared" si="6"/>
        <v>45.0</v>
      </c>
      <c r="F6" s="4">
        <f t="shared" si="1"/>
        <v>42.5</v>
      </c>
      <c r="G6" s="2">
        <f t="shared" si="2"/>
        <v>28.125</v>
      </c>
      <c r="H6" s="2">
        <f t="shared" si="3"/>
        <v>17.578125</v>
      </c>
    </row>
    <row r="7">
      <c r="A7" s="3" t="s">
        <v>13</v>
      </c>
      <c r="B7" s="2">
        <v>200.0</v>
      </c>
      <c r="C7" s="4">
        <f t="shared" si="5"/>
        <v>131.666666666667</v>
      </c>
      <c r="D7" s="4">
        <f t="shared" si="4"/>
        <v>138.75</v>
      </c>
      <c r="E7" s="4">
        <f t="shared" si="6"/>
        <v>68.333333333333</v>
      </c>
      <c r="F7" s="4">
        <f t="shared" si="1"/>
        <v>61.25</v>
      </c>
      <c r="G7" s="2">
        <f t="shared" si="2"/>
        <v>34.1666666666665</v>
      </c>
      <c r="H7" s="2">
        <f t="shared" si="3"/>
        <v>17.0833333333332</v>
      </c>
    </row>
    <row r="8">
      <c r="A8" s="3" t="s">
        <v>14</v>
      </c>
      <c r="B8" s="2">
        <v>190.0</v>
      </c>
      <c r="C8" s="4">
        <f t="shared" si="5"/>
        <v>163.333333333333</v>
      </c>
      <c r="D8" s="4">
        <f t="shared" si="4"/>
        <v>169.375</v>
      </c>
      <c r="E8" s="4">
        <f t="shared" si="6"/>
        <v>26.666666666667</v>
      </c>
      <c r="F8" s="4">
        <f t="shared" si="1"/>
        <v>20.625</v>
      </c>
      <c r="G8" s="2">
        <f t="shared" si="2"/>
        <v>14.0350877192984</v>
      </c>
      <c r="H8" s="2">
        <f t="shared" si="3"/>
        <v>7.38688827331493</v>
      </c>
    </row>
    <row r="9">
      <c r="A9" s="3" t="s">
        <v>15</v>
      </c>
      <c r="B9" s="2">
        <v>170.0</v>
      </c>
      <c r="C9" s="4">
        <f t="shared" si="5"/>
        <v>183.333333333333</v>
      </c>
      <c r="D9" s="4">
        <f t="shared" si="4"/>
        <v>179.6875</v>
      </c>
      <c r="E9" s="4">
        <f t="shared" si="6"/>
        <v>13.333333333333</v>
      </c>
      <c r="F9" s="4">
        <f t="shared" si="1"/>
        <v>9.6875</v>
      </c>
      <c r="G9" s="2">
        <f t="shared" si="2"/>
        <v>7.8431372549018</v>
      </c>
      <c r="H9" s="2">
        <f t="shared" si="3"/>
        <v>4.61361014994223</v>
      </c>
    </row>
    <row r="10">
      <c r="A10" s="3" t="s">
        <v>16</v>
      </c>
      <c r="B10" s="2">
        <v>140.0</v>
      </c>
      <c r="C10" s="4">
        <f t="shared" si="5"/>
        <v>186.666666666667</v>
      </c>
      <c r="D10" s="4">
        <f t="shared" si="4"/>
        <v>174.84375</v>
      </c>
      <c r="E10" s="4">
        <f t="shared" si="6"/>
        <v>46.666666666667</v>
      </c>
      <c r="F10" s="4">
        <f t="shared" si="1"/>
        <v>34.84375</v>
      </c>
      <c r="G10" s="2">
        <f t="shared" si="2"/>
        <v>33.3333333333336</v>
      </c>
      <c r="H10" s="2">
        <f t="shared" si="3"/>
        <v>23.809523809524</v>
      </c>
    </row>
    <row r="11">
      <c r="A11" s="3" t="s">
        <v>17</v>
      </c>
      <c r="B11" s="2">
        <v>120.0</v>
      </c>
      <c r="C11" s="4">
        <f t="shared" si="5"/>
        <v>166.666666666667</v>
      </c>
      <c r="D11" s="4">
        <f t="shared" si="4"/>
        <v>157.421875</v>
      </c>
      <c r="E11" s="4">
        <f t="shared" si="6"/>
        <v>46.666666666667</v>
      </c>
      <c r="F11" s="4">
        <f t="shared" si="1"/>
        <v>37.421875</v>
      </c>
      <c r="G11" s="2">
        <f t="shared" si="2"/>
        <v>38.8888888888891</v>
      </c>
      <c r="H11" s="2">
        <f t="shared" si="3"/>
        <v>32.4074074074076</v>
      </c>
    </row>
    <row r="12">
      <c r="A12" s="3" t="s">
        <v>18</v>
      </c>
      <c r="B12" s="2">
        <v>115.0</v>
      </c>
      <c r="C12" s="4">
        <f t="shared" si="5"/>
        <v>143.333333333333</v>
      </c>
      <c r="D12" s="4">
        <f t="shared" si="4"/>
        <v>138.7109375</v>
      </c>
      <c r="E12" s="4">
        <f t="shared" si="6"/>
        <v>28.333333333333</v>
      </c>
      <c r="F12" s="4">
        <f t="shared" si="1"/>
        <v>23.7109375</v>
      </c>
      <c r="G12" s="2">
        <f t="shared" si="2"/>
        <v>24.63768115941</v>
      </c>
      <c r="H12" s="2">
        <f t="shared" si="3"/>
        <v>21.4240705734</v>
      </c>
    </row>
    <row r="13">
      <c r="A13" s="3" t="s">
        <v>19</v>
      </c>
      <c r="B13" s="2">
        <v>125.0</v>
      </c>
      <c r="C13" s="4">
        <f t="shared" si="5"/>
        <v>125.0</v>
      </c>
      <c r="D13" s="4">
        <f t="shared" si="4"/>
        <v>126.85546875</v>
      </c>
      <c r="E13" s="4">
        <f t="shared" si="6"/>
        <v>0.0</v>
      </c>
      <c r="F13" s="4">
        <f t="shared" si="1"/>
        <v>1.85546875</v>
      </c>
      <c r="G13" s="2">
        <f t="shared" si="2"/>
        <v>0.0</v>
      </c>
      <c r="H13" s="2">
        <f t="shared" si="3"/>
        <v>0.0</v>
      </c>
    </row>
    <row r="17">
      <c r="K17" t="s">
        <v>20</v>
      </c>
      <c r="L17" t="s">
        <v>21</v>
      </c>
      <c r="M17" t="s">
        <v>22</v>
      </c>
    </row>
    <row r="18">
      <c r="K18" t="s">
        <v>23</v>
      </c>
      <c r="L18">
        <f>AVERAGE(G2:G13)</f>
        <v>16.688380354439</v>
      </c>
      <c r="M18">
        <f>AVERAGE(H2:H13)</f>
        <v>11.591321496267</v>
      </c>
    </row>
    <row r="19">
      <c r="K19" t="s">
        <v>24</v>
      </c>
      <c r="L19">
        <f>AVERAGE(E2:E13)</f>
        <v>25.0</v>
      </c>
      <c r="M19">
        <f>AVERAGE(F2:F12)</f>
        <v>24.0944602272727</v>
      </c>
    </row>
    <row r="20">
      <c r="K20" t="s">
        <v>25</v>
      </c>
      <c r="L20">
        <f>STDEV(E2:E13)</f>
        <v>23.094010767585</v>
      </c>
      <c r="M20">
        <f>STDEV(F2:F13)</f>
        <v>19.1788903310688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2026-04-28T09:05:31Z</dcterms:created>
</cp:coreProperties>
</file>