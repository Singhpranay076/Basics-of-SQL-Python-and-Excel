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Data" sheetId="1" r:id="rId5"/>
    <sheet state="visible" name="ABC Classification" sheetId="2" r:id="rId6"/>
    <sheet state="visible" name="XYZ Classification" sheetId="3" r:id="rId7"/>
    <sheet state="visible" name="ABC-FSN Interpretation" sheetId="4" r:id="rId8"/>
    <sheet state="visible" name="ABC–XYZ Matrix" sheetId="5" r:id="rId9"/>
    <sheet state="visible" name="ABC_XYZ Interpretation" sheetId="6" r:id="rId10"/>
    <sheet state="visible" name="ABC_FSN Matrix" sheetId="7" r:id="rId11"/>
  </sheets>
  <definedNames/>
  <calcPr/>
  <pivotCaches>
    <pivotCache cacheId="0" r:id="rId12"/>
    <pivotCache cacheId="1" r:id="rId13"/>
    <pivotCache cacheId="2" r:id="rId14"/>
    <pivotCache cacheId="3" r:id="rId15"/>
  </pivotCaches>
</workbook>
</file>

<file path=xl/sharedStrings.xml><?xml version="1.0" encoding="utf-8"?>
<sst xmlns="http://schemas.openxmlformats.org/spreadsheetml/2006/main" count="550" uniqueCount="319">
  <si>
    <t>Item_Code</t>
  </si>
  <si>
    <t>Item_Name</t>
  </si>
  <si>
    <t>Unit_Price</t>
  </si>
  <si>
    <t>Annual_Usage_Qty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</si>
  <si>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</si>
  <si>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</si>
  <si>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</si>
  <si>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</si>
  <si>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</si>
  <si>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</si>
  <si>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</si>
  <si>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</si>
  <si>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</si>
  <si>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</si>
  <si>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</si>
  <si>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</si>
  <si>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Transactions</t>
  </si>
  <si>
    <t>Last_Movement_Date</t>
  </si>
  <si>
    <t>Annual_Value</t>
  </si>
  <si>
    <t>Percentage Contribution</t>
  </si>
  <si>
    <t>Cumulative %</t>
  </si>
  <si>
    <t>ABC Classification</t>
  </si>
  <si>
    <t>Mean Demand</t>
  </si>
  <si>
    <t>Standard Deviation</t>
  </si>
  <si>
    <t>Coefficient of Variation</t>
  </si>
  <si>
    <t>XYZ Classification</t>
  </si>
  <si>
    <t>FSN Classification</t>
  </si>
  <si>
    <t>SKU068</t>
  </si>
  <si>
    <t>Safety Helmet</t>
  </si>
  <si>
    <t>2024-06-17</t>
  </si>
  <si>
    <t>SKU003</t>
  </si>
  <si>
    <t>Mask</t>
  </si>
  <si>
    <t>2025-06-20</t>
  </si>
  <si>
    <t>SKU040</t>
  </si>
  <si>
    <t>Circuit Breaker</t>
  </si>
  <si>
    <t>2026-01-19</t>
  </si>
  <si>
    <t>SKU023</t>
  </si>
  <si>
    <t>Cleaning Chemical</t>
  </si>
  <si>
    <t>2026-02-05</t>
  </si>
  <si>
    <t>SKU049</t>
  </si>
  <si>
    <t>Hydraulic Hose</t>
  </si>
  <si>
    <t>2024-09-29</t>
  </si>
  <si>
    <t>SKU030</t>
  </si>
  <si>
    <t>Fuse</t>
  </si>
  <si>
    <t>2025-04-17</t>
  </si>
  <si>
    <t>SKU010</t>
  </si>
  <si>
    <t>Welding Rod</t>
  </si>
  <si>
    <t>2024-10-13</t>
  </si>
  <si>
    <t>SKU063</t>
  </si>
  <si>
    <t>Hex Bolt</t>
  </si>
  <si>
    <t>2025-01-30</t>
  </si>
  <si>
    <t>SKU067</t>
  </si>
  <si>
    <t>Pneumatic Cylinder</t>
  </si>
  <si>
    <t>2025-03-19</t>
  </si>
  <si>
    <t>SKU048</t>
  </si>
  <si>
    <t>V Belt</t>
  </si>
  <si>
    <t>2024-09-18</t>
  </si>
  <si>
    <t>SKU046</t>
  </si>
  <si>
    <t>2026-04-29</t>
  </si>
  <si>
    <t>SKU026</t>
  </si>
  <si>
    <t>Hydraulic Pump</t>
  </si>
  <si>
    <t>2024-08-06</t>
  </si>
  <si>
    <t>SKU071</t>
  </si>
  <si>
    <t>Tool Kit</t>
  </si>
  <si>
    <t>2026-05-30</t>
  </si>
  <si>
    <t>SKU053</t>
  </si>
  <si>
    <t>Roller Bearing</t>
  </si>
  <si>
    <t>2025-05-04</t>
  </si>
  <si>
    <t>SKU012</t>
  </si>
  <si>
    <t>Plastic Granules</t>
  </si>
  <si>
    <t>2024-07-09</t>
  </si>
  <si>
    <t>SKU089</t>
  </si>
  <si>
    <t>Mechanical Seal</t>
  </si>
  <si>
    <t>2024-08-19</t>
  </si>
  <si>
    <t>SKU019</t>
  </si>
  <si>
    <t>2025-02-11</t>
  </si>
  <si>
    <t>SKU083</t>
  </si>
  <si>
    <t>2025-11-11</t>
  </si>
  <si>
    <t>SKU033</t>
  </si>
  <si>
    <t>2025-09-21</t>
  </si>
  <si>
    <t>SKU002</t>
  </si>
  <si>
    <t>Motor</t>
  </si>
  <si>
    <t>SKU007</t>
  </si>
  <si>
    <t>2026-01-17</t>
  </si>
  <si>
    <t>SKU039</t>
  </si>
  <si>
    <t>Shaft</t>
  </si>
  <si>
    <t>2026-01-31</t>
  </si>
  <si>
    <t>SKU088</t>
  </si>
  <si>
    <t>2025-10-07</t>
  </si>
  <si>
    <t>SKU016</t>
  </si>
  <si>
    <t>PLC Module</t>
  </si>
  <si>
    <t>2024-07-05</t>
  </si>
  <si>
    <t>SKU042</t>
  </si>
  <si>
    <t>Contactor</t>
  </si>
  <si>
    <t>2024-11-03</t>
  </si>
  <si>
    <t>SKU060</t>
  </si>
  <si>
    <t>Stretch Film</t>
  </si>
  <si>
    <t>2024-11-13</t>
  </si>
  <si>
    <t>SKU081</t>
  </si>
  <si>
    <t>Solenoid Valve</t>
  </si>
  <si>
    <t>2025-10-06</t>
  </si>
  <si>
    <t>SKU044</t>
  </si>
  <si>
    <t>Relay</t>
  </si>
  <si>
    <t>2025-08-19</t>
  </si>
  <si>
    <t>SKU045</t>
  </si>
  <si>
    <t>Power Supply</t>
  </si>
  <si>
    <t>2026-01-16</t>
  </si>
  <si>
    <t>SKU078</t>
  </si>
  <si>
    <t>Grease</t>
  </si>
  <si>
    <t>2026-05-24</t>
  </si>
  <si>
    <t>SKU029</t>
  </si>
  <si>
    <t>O Ring</t>
  </si>
  <si>
    <t>2026-05-05</t>
  </si>
  <si>
    <t>SKU092</t>
  </si>
  <si>
    <t>2025-04-10</t>
  </si>
  <si>
    <t>SKU034</t>
  </si>
  <si>
    <t>2024-12-31</t>
  </si>
  <si>
    <t>SKU062</t>
  </si>
  <si>
    <t>2025-05-09</t>
  </si>
  <si>
    <t>SKU094</t>
  </si>
  <si>
    <t>Conveyor Belt</t>
  </si>
  <si>
    <t>2025-06-28</t>
  </si>
  <si>
    <t>SKU041</t>
  </si>
  <si>
    <t>Proximity Sensor</t>
  </si>
  <si>
    <t>2024-10-12</t>
  </si>
  <si>
    <t>SKU035</t>
  </si>
  <si>
    <t>2024-07-20</t>
  </si>
  <si>
    <t>SKU015</t>
  </si>
  <si>
    <t>Copper Wire</t>
  </si>
  <si>
    <t>2024-12-07</t>
  </si>
  <si>
    <t>SKU075</t>
  </si>
  <si>
    <t>Limit Switch</t>
  </si>
  <si>
    <t>2025-05-07</t>
  </si>
  <si>
    <t>SKU031</t>
  </si>
  <si>
    <t>2025-09-05</t>
  </si>
  <si>
    <t>SKU050</t>
  </si>
  <si>
    <t>2025-02-20</t>
  </si>
  <si>
    <t>SKU085</t>
  </si>
  <si>
    <t>2025-07-17</t>
  </si>
  <si>
    <t>SKU004</t>
  </si>
  <si>
    <t>2026-04-27</t>
  </si>
  <si>
    <t>SKU027</t>
  </si>
  <si>
    <t>2026-03-08</t>
  </si>
  <si>
    <t>SKU058</t>
  </si>
  <si>
    <t>2025-12-13</t>
  </si>
  <si>
    <t>SKU098</t>
  </si>
  <si>
    <t>2025-06-21</t>
  </si>
  <si>
    <t>SKU090</t>
  </si>
  <si>
    <t>2026-05-21</t>
  </si>
  <si>
    <t>SKU064</t>
  </si>
  <si>
    <t>2026-05-28</t>
  </si>
  <si>
    <t>SKU018</t>
  </si>
  <si>
    <t>2025-05-10</t>
  </si>
  <si>
    <t>SKU096</t>
  </si>
  <si>
    <t>2025-09-02</t>
  </si>
  <si>
    <t>SKU086</t>
  </si>
  <si>
    <t>2024-12-18</t>
  </si>
  <si>
    <t>SKU006</t>
  </si>
  <si>
    <t>HMI Screen</t>
  </si>
  <si>
    <t>2024-10-01</t>
  </si>
  <si>
    <t>SKU057</t>
  </si>
  <si>
    <t>2025-12-01</t>
  </si>
  <si>
    <t>SKU013</t>
  </si>
  <si>
    <t>2024-10-10</t>
  </si>
  <si>
    <t>SKU055</t>
  </si>
  <si>
    <t>2025-03-15</t>
  </si>
  <si>
    <t>SKU025</t>
  </si>
  <si>
    <t>2026-06-13</t>
  </si>
  <si>
    <t>SKU037</t>
  </si>
  <si>
    <t>Steel Sheet</t>
  </si>
  <si>
    <t>2025-08-16</t>
  </si>
  <si>
    <t>SKU070</t>
  </si>
  <si>
    <t>2024-10-19</t>
  </si>
  <si>
    <t>SKU014</t>
  </si>
  <si>
    <t>2026-02-16</t>
  </si>
  <si>
    <t>SKU038</t>
  </si>
  <si>
    <t>2025-09-19</t>
  </si>
  <si>
    <t>SKU082</t>
  </si>
  <si>
    <t>2025-10-11</t>
  </si>
  <si>
    <t>SKU024</t>
  </si>
  <si>
    <t>Chain Sprocket</t>
  </si>
  <si>
    <t>2026-04-13</t>
  </si>
  <si>
    <t>SKU021</t>
  </si>
  <si>
    <t>2026-06-10</t>
  </si>
  <si>
    <t>SKU076</t>
  </si>
  <si>
    <t>Ball Bearing</t>
  </si>
  <si>
    <t>2024-06-16</t>
  </si>
  <si>
    <t>SKU020</t>
  </si>
  <si>
    <t>Pallet</t>
  </si>
  <si>
    <t>2026-01-01</t>
  </si>
  <si>
    <t>SKU072</t>
  </si>
  <si>
    <t>2026-03-19</t>
  </si>
  <si>
    <t>SKU047</t>
  </si>
  <si>
    <t>2025-05-13</t>
  </si>
  <si>
    <t>SKU097</t>
  </si>
  <si>
    <t>2025-09-16</t>
  </si>
  <si>
    <t>SKU052</t>
  </si>
  <si>
    <t>2025-12-16</t>
  </si>
  <si>
    <t>SKU043</t>
  </si>
  <si>
    <t>2026-03-16</t>
  </si>
  <si>
    <t>SKU066</t>
  </si>
  <si>
    <t>Washer</t>
  </si>
  <si>
    <t>2025-01-27</t>
  </si>
  <si>
    <t>SKU028</t>
  </si>
  <si>
    <t>2026-05-16</t>
  </si>
  <si>
    <t>SKU091</t>
  </si>
  <si>
    <t>Carton Box</t>
  </si>
  <si>
    <t>2024-09-16</t>
  </si>
  <si>
    <t>SKU080</t>
  </si>
  <si>
    <t>2025-08-23</t>
  </si>
  <si>
    <t>SKU087</t>
  </si>
  <si>
    <t>2025-10-01</t>
  </si>
  <si>
    <t>SKU069</t>
  </si>
  <si>
    <t>2024-11-28</t>
  </si>
  <si>
    <t>SKU079</t>
  </si>
  <si>
    <t>2025-09-25</t>
  </si>
  <si>
    <t>SKU022</t>
  </si>
  <si>
    <t>SKU017</t>
  </si>
  <si>
    <t>2025-09-18</t>
  </si>
  <si>
    <t>SKU054</t>
  </si>
  <si>
    <t>Steel Rod</t>
  </si>
  <si>
    <t>2026-03-29</t>
  </si>
  <si>
    <t>SKU008</t>
  </si>
  <si>
    <t>2024-10-28</t>
  </si>
  <si>
    <t>SKU059</t>
  </si>
  <si>
    <t>SKU065</t>
  </si>
  <si>
    <t>2024-11-17</t>
  </si>
  <si>
    <t>SKU032</t>
  </si>
  <si>
    <t>Gear Assembly</t>
  </si>
  <si>
    <t>2024-06-23</t>
  </si>
  <si>
    <t>SKU001</t>
  </si>
  <si>
    <t>2025-08-03</t>
  </si>
  <si>
    <t>SKU051</t>
  </si>
  <si>
    <t>2025-02-06</t>
  </si>
  <si>
    <t>SKU100</t>
  </si>
  <si>
    <t>2024-09-23</t>
  </si>
  <si>
    <t>SKU099</t>
  </si>
  <si>
    <t>2026-02-19</t>
  </si>
  <si>
    <t>SKU036</t>
  </si>
  <si>
    <t>SKU009</t>
  </si>
  <si>
    <t>2024-08-29</t>
  </si>
  <si>
    <t>SKU095</t>
  </si>
  <si>
    <t>2024-08-07</t>
  </si>
  <si>
    <t>SKU073</t>
  </si>
  <si>
    <t>2026-02-11</t>
  </si>
  <si>
    <t>SKU005</t>
  </si>
  <si>
    <t>2026-06-09</t>
  </si>
  <si>
    <t>SKU011</t>
  </si>
  <si>
    <t>Coupling</t>
  </si>
  <si>
    <t>2026-01-04</t>
  </si>
  <si>
    <t>SKU074</t>
  </si>
  <si>
    <t>2026-03-04</t>
  </si>
  <si>
    <t>SKU077</t>
  </si>
  <si>
    <t>Gasket</t>
  </si>
  <si>
    <t>2026-04-12</t>
  </si>
  <si>
    <t>SKU061</t>
  </si>
  <si>
    <t>2025-09-04</t>
  </si>
  <si>
    <t>SKU056</t>
  </si>
  <si>
    <t>2025-06-19</t>
  </si>
  <si>
    <t>SKU093</t>
  </si>
  <si>
    <t>2024-06-30</t>
  </si>
  <si>
    <t>SKU084</t>
  </si>
  <si>
    <t>2025-05-31</t>
  </si>
  <si>
    <t xml:space="preserve">75th </t>
  </si>
  <si>
    <t xml:space="preserve">25th </t>
  </si>
  <si>
    <t>COUNTA of ABC Classification</t>
  </si>
  <si>
    <t>A</t>
  </si>
  <si>
    <t>B</t>
  </si>
  <si>
    <t>C</t>
  </si>
  <si>
    <t>Grand Total</t>
  </si>
  <si>
    <t>COUNTA of XYZ Classification</t>
  </si>
  <si>
    <t>Y</t>
  </si>
  <si>
    <t>Z</t>
  </si>
  <si>
    <t>ABC-FSN</t>
  </si>
  <si>
    <t>Interpretation</t>
  </si>
  <si>
    <t>Category</t>
  </si>
  <si>
    <t>Meaning</t>
  </si>
  <si>
    <t>AF</t>
  </si>
  <si>
    <t>Critical Item</t>
  </si>
  <si>
    <t>AS</t>
  </si>
  <si>
    <t>Important Item</t>
  </si>
  <si>
    <t>AN</t>
  </si>
  <si>
    <t>Capital Blocked</t>
  </si>
  <si>
    <t>BF</t>
  </si>
  <si>
    <t>Regular Fast Mover</t>
  </si>
  <si>
    <t>BS</t>
  </si>
  <si>
    <t>Routine Stock</t>
  </si>
  <si>
    <t>BN</t>
  </si>
  <si>
    <t>Slow Asset</t>
  </si>
  <si>
    <t>CF</t>
  </si>
  <si>
    <t>Consumable Item</t>
  </si>
  <si>
    <t>CS</t>
  </si>
  <si>
    <t>Low Priority Stock</t>
  </si>
  <si>
    <t>CN</t>
  </si>
  <si>
    <t>Dead Stock Candidate</t>
  </si>
  <si>
    <t>ABC</t>
  </si>
  <si>
    <t>XYZ</t>
  </si>
  <si>
    <t>ABC-XYZ</t>
  </si>
  <si>
    <t>Short Interpretation</t>
  </si>
  <si>
    <t>AX</t>
  </si>
  <si>
    <t>High value, stable demand, tight control</t>
  </si>
  <si>
    <t>AY</t>
  </si>
  <si>
    <t>High value, moderate variability, monitor closely</t>
  </si>
  <si>
    <t>AZ</t>
  </si>
  <si>
    <t>High value, unpredictable demand, high planning risk</t>
  </si>
  <si>
    <t>BX</t>
  </si>
  <si>
    <t>Medium value, stable demand, standard control</t>
  </si>
  <si>
    <t>BY</t>
  </si>
  <si>
    <t>Medium value, moderate variability, regular review</t>
  </si>
  <si>
    <t>BZ</t>
  </si>
  <si>
    <t>Medium value, erratic demand, monitor stock levels</t>
  </si>
  <si>
    <t>CX</t>
  </si>
  <si>
    <t>Low value, stable demand, automate replenishment</t>
  </si>
  <si>
    <t>CY</t>
  </si>
  <si>
    <t>Low value, moderate variability, simple monitoring</t>
  </si>
  <si>
    <t>CZ</t>
  </si>
  <si>
    <t>Low value, erratic demand, review for obsolescence</t>
  </si>
  <si>
    <t>COUNTA of ABC-XYZ</t>
  </si>
  <si>
    <t>COUNTA of Item_Code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</si>
</sst>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ABC Classification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'ABC Classification'!$B$1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'ABC Classification'!$A$2:$A$4</c:f>
            </c:strRef>
          </c:cat>
          <c:val>
            <c:numRef>
              <c:f>'ABC Classification'!$B$2:$B$4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XYZ Classification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'XYZ Classification'!$B$1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'XYZ Classification'!$A$2:$A$4</c:f>
            </c:strRef>
          </c:cat>
          <c:val>
            <c:numRef>
              <c:f>'XYZ Classification'!$B$2:$B$4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Item_Code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'ABC_FSN Matrix'!$B$1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'ABC_FSN Matrix'!$A$2:$A$10</c:f>
            </c:strRef>
          </c:cat>
          <c:val>
            <c:numRef>
              <c:f>'ABC_FSN Matrix'!$B$2:$B$10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1</xdr:row>
      <xdr:rowOff>66675</xdr:rowOff>
    </xdr:from>
    <xdr:ext cx="4162425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152400</xdr:colOff>
      <xdr:row>0</xdr:row>
      <xdr:rowOff>123825</xdr:rowOff>
    </xdr:from>
    <xdr:ext cx="4400550" cy="2724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0</xdr:row>
      <xdr:rowOff>142875</xdr:rowOff>
    </xdr:from>
    <xdr:ext cx="4124325" cy="2543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101" sheet="Inventory_Data"/>
  </cacheSource>
  <cacheFields>
    <cacheField name="Item_Code" numFmtId="0">
      <sharedItems>
        <s v="SKU068"/>
        <s v="SKU003"/>
        <s v="SKU040"/>
        <s v="SKU023"/>
        <s v="SKU049"/>
        <s v="SKU030"/>
        <s v="SKU010"/>
        <s v="SKU063"/>
        <s v="SKU067"/>
        <s v="SKU048"/>
        <s v="SKU046"/>
        <s v="SKU026"/>
        <s v="SKU071"/>
        <s v="SKU053"/>
        <s v="SKU012"/>
        <s v="SKU089"/>
        <s v="SKU019"/>
        <s v="SKU083"/>
        <s v="SKU033"/>
        <s v="SKU002"/>
        <s v="SKU007"/>
        <s v="SKU039"/>
        <s v="SKU088"/>
        <s v="SKU016"/>
        <s v="SKU042"/>
        <s v="SKU060"/>
        <s v="SKU081"/>
        <s v="SKU044"/>
        <s v="SKU045"/>
        <s v="SKU078"/>
        <s v="SKU029"/>
        <s v="SKU092"/>
        <s v="SKU034"/>
        <s v="SKU062"/>
        <s v="SKU094"/>
        <s v="SKU041"/>
        <s v="SKU035"/>
        <s v="SKU015"/>
        <s v="SKU075"/>
        <s v="SKU031"/>
        <s v="SKU050"/>
        <s v="SKU085"/>
        <s v="SKU004"/>
        <s v="SKU027"/>
        <s v="SKU058"/>
        <s v="SKU098"/>
        <s v="SKU090"/>
        <s v="SKU064"/>
        <s v="SKU018"/>
        <s v="SKU096"/>
        <s v="SKU086"/>
        <s v="SKU006"/>
        <s v="SKU057"/>
        <s v="SKU013"/>
        <s v="SKU055"/>
        <s v="SKU025"/>
        <s v="SKU037"/>
        <s v="SKU070"/>
        <s v="SKU014"/>
        <s v="SKU038"/>
        <s v="SKU082"/>
        <s v="SKU024"/>
        <s v="SKU021"/>
        <s v="SKU076"/>
        <s v="SKU020"/>
        <s v="SKU072"/>
        <s v="SKU047"/>
        <s v="SKU097"/>
        <s v="SKU052"/>
        <s v="SKU043"/>
        <s v="SKU066"/>
        <s v="SKU028"/>
        <s v="SKU091"/>
        <s v="SKU080"/>
        <s v="SKU087"/>
        <s v="SKU069"/>
        <s v="SKU079"/>
        <s v="SKU022"/>
        <s v="SKU017"/>
        <s v="SKU054"/>
        <s v="SKU008"/>
        <s v="SKU059"/>
        <s v="SKU065"/>
        <s v="SKU032"/>
        <s v="SKU001"/>
        <s v="SKU051"/>
        <s v="SKU100"/>
        <s v="SKU099"/>
        <s v="SKU036"/>
        <s v="SKU009"/>
        <s v="SKU095"/>
        <s v="SKU073"/>
        <s v="SKU005"/>
        <s v="SKU011"/>
        <s v="SKU074"/>
        <s v="SKU077"/>
        <s v="SKU061"/>
        <s v="SKU056"/>
        <s v="SKU093"/>
        <s v="SKU084"/>
      </sharedItems>
    </cacheField>
    <cacheField name="Item_Name" numFmtId="0">
      <sharedItems>
        <s v="Safety Helmet"/>
        <s v="Mask"/>
        <s v="Circuit Breaker"/>
        <s v="Cleaning Chemical"/>
        <s v="Hydraulic Hose"/>
        <s v="Fuse"/>
        <s v="Welding Rod"/>
        <s v="Hex Bolt"/>
        <s v="Pneumatic Cylinder"/>
        <s v="V Belt"/>
        <s v="Hydraulic Pump"/>
        <s v="Tool Kit"/>
        <s v="Roller Bearing"/>
        <s v="Plastic Granules"/>
        <s v="Mechanical Seal"/>
        <s v="Motor"/>
        <s v="Shaft"/>
        <s v="PLC Module"/>
        <s v="Contactor"/>
        <s v="Stretch Film"/>
        <s v="Solenoid Valve"/>
        <s v="Relay"/>
        <s v="Power Supply"/>
        <s v="Grease"/>
        <s v="O Ring"/>
        <s v="Conveyor Belt"/>
        <s v="Proximity Sensor"/>
        <s v="Copper Wire"/>
        <s v="Limit Switch"/>
        <s v="HMI Screen"/>
        <s v="Steel Sheet"/>
        <s v="Chain Sprocket"/>
        <s v="Ball Bearing"/>
        <s v="Pallet"/>
        <s v="Washer"/>
        <s v="Carton Box"/>
        <s v="Steel Rod"/>
        <s v="Gear Assembly"/>
        <s v="Coupling"/>
        <s v="Gasket"/>
      </sharedItems>
    </cacheField>
    <cacheField name="Unit_Price" numFmtId="0">
      <sharedItems containsSemiMixedTypes="0" containsString="0" containsNumber="1">
        <n v="4858.61"/>
        <n v="4999.63"/>
        <n v="4636.85"/>
        <n v="4723.85"/>
        <n v="4841.12"/>
        <n v="4325.14"/>
        <n v="3804.57"/>
        <n v="4481.31"/>
        <n v="4775.91"/>
        <n v="4859.26"/>
        <n v="3790.73"/>
        <n v="4958.22"/>
        <n v="4785.16"/>
        <n v="4158.41"/>
        <n v="3704.08"/>
        <n v="4876.05"/>
        <n v="4756.25"/>
        <n v="3923.89"/>
        <n v="3170.77"/>
        <n v="4865.61"/>
        <n v="3802.46"/>
        <n v="4008.68"/>
        <n v="3432.03"/>
        <n v="3928.98"/>
        <n v="4858.45"/>
        <n v="3584.61"/>
        <n v="3395.89"/>
        <n v="4879.87"/>
        <n v="3893.77"/>
        <n v="2664.57"/>
        <n v="3236.25"/>
        <n v="2804.18"/>
        <n v="3043.22"/>
        <n v="3210.21"/>
        <n v="2901.24"/>
        <n v="4641.63"/>
        <n v="3300.61"/>
        <n v="3343.32"/>
        <n v="3192.37"/>
        <n v="3400.93"/>
        <n v="2629.14"/>
        <n v="2371.22"/>
        <n v="2739.43"/>
        <n v="2089.27"/>
        <n v="2675.84"/>
        <n v="3834.06"/>
        <n v="2824.19"/>
        <n v="3688.57"/>
        <n v="2180.09"/>
        <n v="2377.23"/>
        <n v="2478.64"/>
        <n v="2636.92"/>
        <n v="2776.98"/>
        <n v="2428.14"/>
        <n v="2050.02"/>
        <n v="2094.17"/>
        <n v="2223.33"/>
        <n v="2884.1"/>
        <n v="2829.97"/>
        <n v="2098.68"/>
        <n v="2345.33"/>
        <n v="1735.2"/>
        <n v="2327.75"/>
        <n v="2199.44"/>
        <n v="2596.19"/>
        <n v="1541.95"/>
        <n v="2190.47"/>
        <n v="1943.58"/>
        <n v="2459.8"/>
        <n v="1705.96"/>
        <n v="1743.64"/>
        <n v="2854.14"/>
        <n v="1596.72"/>
        <n v="1356.36"/>
        <n v="1811.79"/>
        <n v="1492.72"/>
        <n v="1403.74"/>
        <n v="1498.95"/>
        <n v="1507.48"/>
        <n v="1233.16"/>
        <n v="1132.12"/>
        <n v="1137.59"/>
        <n v="783.95"/>
        <n v="1391.53"/>
        <n v="607.81"/>
        <n v="822.43"/>
        <n v="645.42"/>
        <n v="723.95"/>
        <n v="817.91"/>
        <n v="442.41"/>
        <n v="524.48"/>
        <n v="495.18"/>
        <n v="550.17"/>
        <n v="429.93"/>
        <n v="342.24"/>
        <n v="141.68"/>
        <n v="116.41"/>
        <n v="93.47"/>
        <n v="62.21"/>
        <n v="39.85"/>
      </sharedItems>
    </cacheField>
    <cacheField name="Annual_Usage_Qty" numFmtId="0">
      <sharedItems containsSemiMixedTypes="0" containsString="0" containsNumber="1" containsInteger="1">
        <n v="4297.0"/>
        <n v="4016.0"/>
        <n v="3746.0"/>
        <n v="3554.0"/>
        <n v="3376.0"/>
        <n v="3747.0"/>
        <n v="4035.0"/>
        <n v="3350.0"/>
        <n v="2998.0"/>
        <n v="2906.0"/>
        <n v="3708.0"/>
        <n v="2829.0"/>
        <n v="2865.0"/>
        <n v="3150.0"/>
        <n v="3521.0"/>
        <n v="2636.0"/>
        <n v="2696.0"/>
        <n v="3224.0"/>
        <n v="3792.0"/>
        <n v="2464.0"/>
        <n v="3146.0"/>
        <n v="2957.0"/>
        <n v="3392.0"/>
        <n v="2936.0"/>
        <n v="2353.0"/>
        <n v="3181.0"/>
        <n v="3283.0"/>
        <n v="2264.0"/>
        <n v="2747.0"/>
        <n v="4003.0"/>
        <n v="3156.0"/>
        <n v="3496.0"/>
        <n v="3158.0"/>
        <n v="2986.0"/>
        <n v="3295.0"/>
        <n v="2053.0"/>
        <n v="2871.0"/>
        <n v="2776.0"/>
        <n v="2891.0"/>
        <n v="2702.0"/>
        <n v="3364.0"/>
        <n v="3615.0"/>
        <n v="3127.0"/>
        <n v="4071.0"/>
        <n v="3174.0"/>
        <n v="2175.0"/>
        <n v="2900.0"/>
        <n v="2153.0"/>
        <n v="3631.0"/>
        <n v="3273.0"/>
        <n v="3119.0"/>
        <n v="2928.0"/>
        <n v="2764.0"/>
        <n v="3147.0"/>
        <n v="3626.0"/>
        <n v="3383.0"/>
        <n v="3145.0"/>
        <n v="2422.0"/>
        <n v="2455.0"/>
        <n v="3220.0"/>
        <n v="2880.0"/>
        <n v="3767.0"/>
        <n v="2769.0"/>
        <n v="2789.0"/>
        <n v="2292.0"/>
        <n v="2490.0"/>
        <n v="2801.0"/>
        <n v="2198.0"/>
        <n v="3108.0"/>
        <n v="1820.0"/>
        <n v="3055.0"/>
        <n v="3560.0"/>
        <n v="2567.0"/>
        <n v="3031.0"/>
        <n v="3187.0"/>
        <n v="2943.0"/>
        <n v="2810.0"/>
        <n v="2962.0"/>
        <n v="3106.0"/>
        <n v="2878.0"/>
        <n v="3550.0"/>
        <n v="1776.0"/>
        <n v="4034.0"/>
        <n v="2573.0"/>
        <n v="3191.0"/>
        <n v="2822.0"/>
        <n v="2274.0"/>
        <n v="3540.0"/>
        <n v="2833.0"/>
        <n v="2983.0"/>
        <n v="2678.0"/>
        <n v="3241.0"/>
        <n v="3263.0"/>
        <n v="3401.0"/>
        <n v="2934.0"/>
        <n v="3432.0"/>
        <n v="2661.0"/>
        <n v="3048.0"/>
      </sharedItems>
    </cacheField>
    <cacheField name="Jan" numFmtId="0">
      <sharedItems containsSemiMixedTypes="0" containsString="0" containsNumber="1" containsInteger="1">
        <n v="442.0"/>
        <n v="262.0"/>
        <n v="481.0"/>
        <n v="180.0"/>
        <n v="105.0"/>
        <n v="160.0"/>
        <n v="479.0"/>
        <n v="178.0"/>
        <n v="154.0"/>
        <n v="181.0"/>
        <n v="430.0"/>
        <n v="406.0"/>
        <n v="231.0"/>
        <n v="343.0"/>
        <n v="240.0"/>
        <n v="46.0"/>
        <n v="278.0"/>
        <n v="5.0"/>
        <n v="283.0"/>
        <n v="217.0"/>
        <n v="136.0"/>
        <n v="415.0"/>
        <n v="236.0"/>
        <n v="438.0"/>
        <n v="219.0"/>
        <n v="440.0"/>
        <n v="202.0"/>
        <n v="45.0"/>
        <n v="377.0"/>
        <n v="109.0"/>
        <n v="30.0"/>
        <n v="271.0"/>
        <n v="455.0"/>
        <n v="143.0"/>
        <n v="337.0"/>
        <n v="237.0"/>
        <n v="210.0"/>
        <n v="471.0"/>
        <n v="82.0"/>
        <n v="398.0"/>
        <n v="241.0"/>
        <n v="90.0"/>
        <n v="190.0"/>
        <n v="156.0"/>
        <n v="469.0"/>
        <n v="182.0"/>
        <n v="478.0"/>
        <n v="167.0"/>
        <n v="103.0"/>
        <n v="312.0"/>
        <n v="249.0"/>
        <n v="118.0"/>
        <n v="371.0"/>
        <n v="320.0"/>
        <n v="193.0"/>
        <n v="247.0"/>
        <n v="98.0"/>
        <n v="215.0"/>
        <n v="286.0"/>
        <n v="485.0"/>
        <n v="52.0"/>
        <n v="170.0"/>
        <n v="390.0"/>
        <n v="243.0"/>
        <n v="230.0"/>
        <n v="158.0"/>
        <n v="113.0"/>
        <n v="353.0"/>
        <n v="279.0"/>
        <n v="274.0"/>
        <n v="20.0"/>
        <n v="189.0"/>
        <n v="127.0"/>
        <n v="74.0"/>
        <n v="134.0"/>
        <n v="19.0"/>
        <n v="197.0"/>
        <n v="483.0"/>
        <n v="176.0"/>
        <n v="477.0"/>
        <n v="296.0"/>
        <n v="419.0"/>
        <n v="421.0"/>
        <n v="51.0"/>
        <n v="6.0"/>
        <n v="89.0"/>
        <n v="321.0"/>
        <n v="341.0"/>
        <n v="482.0"/>
        <n v="493.0"/>
        <n v="259.0"/>
        <n v="130.0"/>
        <n v="359.0"/>
        <n v="195.0"/>
        <n v="376.0"/>
      </sharedItems>
    </cacheField>
    <cacheField name="Feb" numFmtId="0">
      <sharedItems containsSemiMixedTypes="0" containsString="0" containsNumber="1" containsInteger="1">
        <n v="183.0"/>
        <n v="354.0"/>
        <n v="372.0"/>
        <n v="390.0"/>
        <n v="269.0"/>
        <n v="302.0"/>
        <n v="415.0"/>
        <n v="487.0"/>
        <n v="493.0"/>
        <n v="405.0"/>
        <n v="409.0"/>
        <n v="222.0"/>
        <n v="272.0"/>
        <n v="376.0"/>
        <n v="484.0"/>
        <n v="325.0"/>
        <n v="110.0"/>
        <n v="209.0"/>
        <n v="291.0"/>
        <n v="263.0"/>
        <n v="379.0"/>
        <n v="414.0"/>
        <n v="473.0"/>
        <n v="261.0"/>
        <n v="161.0"/>
        <n v="382.0"/>
        <n v="19.0"/>
        <n v="296.0"/>
        <n v="425.0"/>
        <n v="285.0"/>
        <n v="448.0"/>
        <n v="53.0"/>
        <n v="195.0"/>
        <n v="324.0"/>
        <n v="130.0"/>
        <n v="213.0"/>
        <n v="35.0"/>
        <n v="174.0"/>
        <n v="131.0"/>
        <n v="21.0"/>
        <n v="228.0"/>
        <n v="57.0"/>
        <n v="112.0"/>
        <n v="256.0"/>
        <n v="143.0"/>
        <n v="351.0"/>
        <n v="148.0"/>
        <n v="476.0"/>
        <n v="128.0"/>
        <n v="350.0"/>
        <n v="31.0"/>
        <n v="109.0"/>
        <n v="233.0"/>
        <n v="60.0"/>
        <n v="237.0"/>
        <n v="1.0"/>
        <n v="177.0"/>
        <n v="459.0"/>
        <n v="122.0"/>
        <n v="224.0"/>
        <n v="22.0"/>
        <n v="499.0"/>
        <n v="363.0"/>
        <n v="428.0"/>
        <n v="287.0"/>
        <n v="67.0"/>
        <n v="293.0"/>
        <n v="452.0"/>
        <n v="75.0"/>
        <n v="236.0"/>
        <n v="494.0"/>
        <n v="253.0"/>
        <n v="190.0"/>
        <n v="241.0"/>
        <n v="113.0"/>
        <n v="119.0"/>
        <n v="102.0"/>
        <n v="469.0"/>
        <n v="367.0"/>
        <n v="103.0"/>
        <n v="86.0"/>
        <n v="427.0"/>
        <n v="136.0"/>
        <n v="249.0"/>
        <n v="470.0"/>
        <n v="295.0"/>
        <n v="155.0"/>
        <n v="250.0"/>
        <n v="108.0"/>
        <n v="297.0"/>
      </sharedItems>
    </cacheField>
    <cacheField name="Mar" numFmtId="0">
      <sharedItems containsSemiMixedTypes="0" containsString="0" containsNumber="1" containsInteger="1">
        <n v="459.0"/>
        <n v="471.0"/>
        <n v="41.0"/>
        <n v="409.0"/>
        <n v="280.0"/>
        <n v="446.0"/>
        <n v="486.0"/>
        <n v="56.0"/>
        <n v="251.0"/>
        <n v="442.0"/>
        <n v="300.0"/>
        <n v="117.0"/>
        <n v="407.0"/>
        <n v="417.0"/>
        <n v="201.0"/>
        <n v="8.0"/>
        <n v="122.0"/>
        <n v="168.0"/>
        <n v="34.0"/>
        <n v="375.0"/>
        <n v="312.0"/>
        <n v="103.0"/>
        <n v="252.0"/>
        <n v="265.0"/>
        <n v="356.0"/>
        <n v="160.0"/>
        <n v="120.0"/>
        <n v="5.0"/>
        <n v="203.0"/>
        <n v="496.0"/>
        <n v="91.0"/>
        <n v="492.0"/>
        <n v="166.0"/>
        <n v="316.0"/>
        <n v="109.0"/>
        <n v="362.0"/>
        <n v="301.0"/>
        <n v="165.0"/>
        <n v="258.0"/>
        <n v="433.0"/>
        <n v="489.0"/>
        <n v="427.0"/>
        <n v="424.0"/>
        <n v="152.0"/>
        <n v="63.0"/>
        <n v="70.0"/>
        <n v="73.0"/>
        <n v="468.0"/>
        <n v="297.0"/>
        <n v="48.0"/>
        <n v="27.0"/>
        <n v="158.0"/>
        <n v="350.0"/>
        <n v="84.0"/>
        <n v="476.0"/>
        <n v="445.0"/>
        <n v="277.0"/>
        <n v="411.0"/>
        <n v="50.0"/>
        <n v="324.0"/>
        <n v="474.0"/>
        <n v="326.0"/>
        <n v="348.0"/>
        <n v="437.0"/>
        <n v="484.0"/>
        <n v="255.0"/>
        <n v="499.0"/>
        <n v="54.0"/>
        <n v="223.0"/>
        <n v="431.0"/>
        <n v="11.0"/>
        <n v="314.0"/>
        <n v="234.0"/>
        <n v="67.0"/>
        <n v="110.0"/>
        <n v="257.0"/>
        <n v="485.0"/>
        <n v="439.0"/>
        <n v="318.0"/>
        <n v="55.0"/>
        <n v="469.0"/>
        <n v="298.0"/>
        <n v="200.0"/>
        <n v="388.0"/>
        <n v="289.0"/>
        <n v="306.0"/>
        <n v="141.0"/>
        <n v="325.0"/>
        <n v="98.0"/>
        <n v="82.0"/>
        <n v="493.0"/>
        <n v="57.0"/>
        <n v="416.0"/>
        <n v="452.0"/>
        <n v="219.0"/>
      </sharedItems>
    </cacheField>
    <cacheField name="Apr" numFmtId="0">
      <sharedItems containsSemiMixedTypes="0" containsString="0" containsNumber="1" containsInteger="1">
        <n v="217.0"/>
        <n v="448.0"/>
        <n v="361.0"/>
        <n v="370.0"/>
        <n v="450.0"/>
        <n v="307.0"/>
        <n v="321.0"/>
        <n v="300.0"/>
        <n v="73.0"/>
        <n v="461.0"/>
        <n v="168.0"/>
        <n v="449.0"/>
        <n v="14.0"/>
        <n v="422.0"/>
        <n v="409.0"/>
        <n v="42.0"/>
        <n v="113.0"/>
        <n v="405.0"/>
        <n v="436.0"/>
        <n v="45.0"/>
        <n v="5.0"/>
        <n v="452.0"/>
        <n v="440.0"/>
        <n v="305.0"/>
        <n v="374.0"/>
        <n v="413.0"/>
        <n v="202.0"/>
        <n v="16.0"/>
        <n v="169.0"/>
        <n v="487.0"/>
        <n v="268.0"/>
        <n v="419.0"/>
        <n v="71.0"/>
        <n v="359.0"/>
        <n v="22.0"/>
        <n v="284.0"/>
        <n v="341.0"/>
        <n v="41.0"/>
        <n v="326.0"/>
        <n v="402.0"/>
        <n v="105.0"/>
        <n v="309.0"/>
        <n v="266.0"/>
        <n v="231.0"/>
        <n v="117.0"/>
        <n v="27.0"/>
        <n v="288.0"/>
        <n v="441.0"/>
        <n v="101.0"/>
        <n v="121.0"/>
        <n v="259.0"/>
        <n v="115.0"/>
        <n v="421.0"/>
        <n v="467.0"/>
        <n v="464.0"/>
        <n v="188.0"/>
        <n v="393.0"/>
        <n v="205.0"/>
        <n v="256.0"/>
        <n v="181.0"/>
        <n v="130.0"/>
        <n v="214.0"/>
        <n v="379.0"/>
        <n v="11.0"/>
        <n v="75.0"/>
        <n v="79.0"/>
        <n v="238.0"/>
        <n v="221.0"/>
        <n v="488.0"/>
        <n v="414.0"/>
        <n v="83.0"/>
        <n v="398.0"/>
        <n v="437.0"/>
        <n v="367.0"/>
        <n v="427.0"/>
        <n v="166.0"/>
        <n v="299.0"/>
        <n v="304.0"/>
        <n v="317.0"/>
        <n v="23.0"/>
        <n v="142.0"/>
        <n v="209.0"/>
        <n v="322.0"/>
        <n v="25.0"/>
        <n v="172.0"/>
        <n v="248.0"/>
        <n v="4.0"/>
        <n v="128.0"/>
        <n v="347.0"/>
        <n v="48.0"/>
        <n v="306.0"/>
        <n v="200.0"/>
        <n v="318.0"/>
      </sharedItems>
    </cacheField>
    <cacheField name="May" numFmtId="0">
      <sharedItems containsSemiMixedTypes="0" containsString="0" containsNumber="1" containsInteger="1">
        <n v="348.0"/>
        <n v="146.0"/>
        <n v="428.0"/>
        <n v="340.0"/>
        <n v="93.0"/>
        <n v="203.0"/>
        <n v="296.0"/>
        <n v="451.0"/>
        <n v="191.0"/>
        <n v="301.0"/>
        <n v="79.0"/>
        <n v="92.0"/>
        <n v="347.0"/>
        <n v="121.0"/>
        <n v="196.0"/>
        <n v="420.0"/>
        <n v="94.0"/>
        <n v="446.0"/>
        <n v="431.0"/>
        <n v="245.0"/>
        <n v="207.0"/>
        <n v="96.0"/>
        <n v="253.0"/>
        <n v="126.0"/>
        <n v="336.0"/>
        <n v="314.0"/>
        <n v="252.0"/>
        <n v="350.0"/>
        <n v="110.0"/>
        <n v="198.0"/>
        <n v="74.0"/>
        <n v="199.0"/>
        <n v="365.0"/>
        <n v="27.0"/>
        <n v="294.0"/>
        <n v="412.0"/>
        <n v="145.0"/>
        <n v="368.0"/>
        <n v="54.0"/>
        <n v="499.0"/>
        <n v="202.0"/>
        <n v="434.0"/>
        <n v="17.0"/>
        <n v="381.0"/>
        <n v="343.0"/>
        <n v="155.0"/>
        <n v="399.0"/>
        <n v="371.0"/>
        <n v="463.0"/>
        <n v="148.0"/>
        <n v="358.0"/>
        <n v="466.0"/>
        <n v="413.0"/>
        <n v="6.0"/>
        <n v="382.0"/>
        <n v="156.0"/>
        <n v="48.0"/>
        <n v="18.0"/>
        <n v="414.0"/>
        <n v="105.0"/>
        <n v="306.0"/>
        <n v="388.0"/>
        <n v="157.0"/>
        <n v="453.0"/>
        <n v="261.0"/>
        <n v="278.0"/>
        <n v="273.0"/>
        <n v="91.0"/>
        <n v="429.0"/>
        <n v="374.0"/>
        <n v="11.0"/>
        <n v="328.0"/>
        <n v="243.0"/>
        <n v="411.0"/>
        <n v="274.0"/>
        <n v="179.0"/>
        <n v="51.0"/>
        <n v="259.0"/>
        <n v="213.0"/>
        <n v="160.0"/>
        <n v="351.0"/>
        <n v="272.0"/>
        <n v="404.0"/>
        <n v="194.0"/>
        <n v="118.0"/>
        <n v="159.0"/>
        <n v="56.0"/>
        <n v="271.0"/>
      </sharedItems>
    </cacheField>
    <cacheField name="Jun" numFmtId="0">
      <sharedItems containsSemiMixedTypes="0" containsString="0" containsNumber="1" containsInteger="1">
        <n v="460.0"/>
        <n v="375.0"/>
        <n v="471.0"/>
        <n v="352.0"/>
        <n v="489.0"/>
        <n v="28.0"/>
        <n v="261.0"/>
        <n v="205.0"/>
        <n v="7.0"/>
        <n v="310.0"/>
        <n v="413.0"/>
        <n v="494.0"/>
        <n v="402.0"/>
        <n v="181.0"/>
        <n v="240.0"/>
        <n v="389.0"/>
        <n v="439.0"/>
        <n v="442.0"/>
        <n v="212.0"/>
        <n v="365.0"/>
        <n v="440.0"/>
        <n v="44.0"/>
        <n v="5.0"/>
        <n v="47.0"/>
        <n v="15.0"/>
        <n v="280.0"/>
        <n v="300.0"/>
        <n v="295.0"/>
        <n v="69.0"/>
        <n v="493.0"/>
        <n v="216.0"/>
        <n v="168.0"/>
        <n v="123.0"/>
        <n v="257.0"/>
        <n v="315.0"/>
        <n v="151.0"/>
        <n v="293.0"/>
        <n v="149.0"/>
        <n v="155.0"/>
        <n v="174.0"/>
        <n v="37.0"/>
        <n v="71.0"/>
        <n v="412.0"/>
        <n v="139.0"/>
        <n v="30.0"/>
        <n v="113.0"/>
        <n v="112.0"/>
        <n v="152.0"/>
        <n v="384.0"/>
        <n v="492.0"/>
        <n v="60.0"/>
        <n v="57.0"/>
        <n v="455.0"/>
        <n v="281.0"/>
        <n v="325.0"/>
        <n v="91.0"/>
        <n v="321.0"/>
        <n v="31.0"/>
        <n v="303.0"/>
        <n v="179.0"/>
        <n v="426.0"/>
        <n v="270.0"/>
        <n v="58.0"/>
        <n v="435.0"/>
        <n v="470.0"/>
        <n v="83.0"/>
        <n v="41.0"/>
        <n v="98.0"/>
        <n v="415.0"/>
        <n v="274.0"/>
        <n v="94.0"/>
        <n v="169.0"/>
        <n v="173.0"/>
        <n v="398.0"/>
        <n v="210.0"/>
        <n v="142.0"/>
        <n v="175.0"/>
        <n v="301.0"/>
        <n v="14.0"/>
        <n v="231.0"/>
        <n v="447.0"/>
        <n v="198.0"/>
        <n v="43.0"/>
        <n v="34.0"/>
        <n v="353.0"/>
        <n v="367.0"/>
        <n v="356.0"/>
        <n v="463.0"/>
        <n v="424.0"/>
        <n v="289.0"/>
        <n v="298.0"/>
        <n v="291.0"/>
        <n v="8.0"/>
        <n v="393.0"/>
        <n v="269.0"/>
        <n v="253.0"/>
      </sharedItems>
    </cacheField>
    <cacheField name="Jul" numFmtId="0">
      <sharedItems containsSemiMixedTypes="0" containsString="0" containsNumber="1" containsInteger="1">
        <n v="229.0"/>
        <n v="279.0"/>
        <n v="85.0"/>
        <n v="157.0"/>
        <n v="219.0"/>
        <n v="399.0"/>
        <n v="214.0"/>
        <n v="67.0"/>
        <n v="197.0"/>
        <n v="121.0"/>
        <n v="447.0"/>
        <n v="135.0"/>
        <n v="194.0"/>
        <n v="13.0"/>
        <n v="114.0"/>
        <n v="329.0"/>
        <n v="19.0"/>
        <n v="431.0"/>
        <n v="152.0"/>
        <n v="88.0"/>
        <n v="437.0"/>
        <n v="312.0"/>
        <n v="388.0"/>
        <n v="371.0"/>
        <n v="51.0"/>
        <n v="131.0"/>
        <n v="428.0"/>
        <n v="183.0"/>
        <n v="476.0"/>
        <n v="299.0"/>
        <n v="290.0"/>
        <n v="391.0"/>
        <n v="65.0"/>
        <n v="132.0"/>
        <n v="328.0"/>
        <n v="119.0"/>
        <n v="382.0"/>
        <n v="231.0"/>
        <n v="499.0"/>
        <n v="258.0"/>
        <n v="186.0"/>
        <n v="283.0"/>
        <n v="317.0"/>
        <n v="37.0"/>
        <n v="452.0"/>
        <n v="307.0"/>
        <n v="285.0"/>
        <n v="400.0"/>
        <n v="240.0"/>
        <n v="384.0"/>
        <n v="235.0"/>
        <n v="74.0"/>
        <n v="496.0"/>
        <n v="322.0"/>
        <n v="247.0"/>
        <n v="489.0"/>
        <n v="438.0"/>
        <n v="492.0"/>
        <n v="144.0"/>
        <n v="294.0"/>
        <n v="308.0"/>
        <n v="171.0"/>
        <n v="485.0"/>
        <n v="81.0"/>
        <n v="245.0"/>
        <n v="372.0"/>
        <n v="124.0"/>
        <n v="339.0"/>
        <n v="464.0"/>
        <n v="443.0"/>
        <n v="169.0"/>
        <n v="269.0"/>
        <n v="268.0"/>
        <n v="249.0"/>
        <n v="330.0"/>
        <n v="199.0"/>
        <n v="20.0"/>
        <n v="456.0"/>
        <n v="277.0"/>
        <n v="225.0"/>
        <n v="468.0"/>
        <n v="491.0"/>
        <n v="471.0"/>
        <n v="421.0"/>
        <n v="228.0"/>
      </sharedItems>
    </cacheField>
    <cacheField name="Aug" numFmtId="0">
      <sharedItems containsSemiMixedTypes="0" containsString="0" containsNumber="1" containsInteger="1">
        <n v="490.0"/>
        <n v="413.0"/>
        <n v="237.0"/>
        <n v="272.0"/>
        <n v="240.0"/>
        <n v="180.0"/>
        <n v="423.0"/>
        <n v="449.0"/>
        <n v="181.0"/>
        <n v="83.0"/>
        <n v="290.0"/>
        <n v="412.0"/>
        <n v="410.0"/>
        <n v="211.0"/>
        <n v="342.0"/>
        <n v="463.0"/>
        <n v="3.0"/>
        <n v="352.0"/>
        <n v="284.0"/>
        <n v="110.0"/>
        <n v="1.0"/>
        <n v="371.0"/>
        <n v="487.0"/>
        <n v="78.0"/>
        <n v="205.0"/>
        <n v="144.0"/>
        <n v="88.0"/>
        <n v="97.0"/>
        <n v="460.0"/>
        <n v="337.0"/>
        <n v="421.0"/>
        <n v="247.0"/>
        <n v="188.0"/>
        <n v="356.0"/>
        <n v="22.0"/>
        <n v="168.0"/>
        <n v="479.0"/>
        <n v="451.0"/>
        <n v="170.0"/>
        <n v="382.0"/>
        <n v="379.0"/>
        <n v="477.0"/>
        <n v="24.0"/>
        <n v="468.0"/>
        <n v="143.0"/>
        <n v="246.0"/>
        <n v="439.0"/>
        <n v="325.0"/>
        <n v="33.0"/>
        <n v="0.0"/>
        <n v="165.0"/>
        <n v="454.0"/>
        <n v="257.0"/>
        <n v="55.0"/>
        <n v="318.0"/>
        <n v="242.0"/>
        <n v="378.0"/>
        <n v="108.0"/>
        <n v="223.0"/>
        <n v="169.0"/>
        <n v="492.0"/>
        <n v="291.0"/>
        <n v="251.0"/>
        <n v="216.0"/>
        <n v="483.0"/>
        <n v="367.0"/>
        <n v="18.0"/>
        <n v="118.0"/>
        <n v="309.0"/>
        <n v="82.0"/>
        <n v="261.0"/>
        <n v="159.0"/>
        <n v="452.0"/>
        <n v="198.0"/>
        <n v="80.0"/>
        <n v="359.0"/>
        <n v="20.0"/>
        <n v="85.0"/>
        <n v="265.0"/>
        <n v="338.0"/>
        <n v="122.0"/>
        <n v="81.0"/>
        <n v="360.0"/>
        <n v="207.0"/>
        <n v="123.0"/>
        <n v="199.0"/>
        <n v="326.0"/>
        <n v="279.0"/>
        <n v="327.0"/>
      </sharedItems>
    </cacheField>
    <cacheField name="Sep" numFmtId="0">
      <sharedItems containsSemiMixedTypes="0" containsString="0" containsNumber="1" containsInteger="1">
        <n v="449.0"/>
        <n v="383.0"/>
        <n v="455.0"/>
        <n v="311.0"/>
        <n v="260.0"/>
        <n v="333.0"/>
        <n v="273.0"/>
        <n v="65.0"/>
        <n v="488.0"/>
        <n v="184.0"/>
        <n v="238.0"/>
        <n v="319.0"/>
        <n v="58.0"/>
        <n v="251.0"/>
        <n v="183.0"/>
        <n v="39.0"/>
        <n v="5.0"/>
        <n v="372.0"/>
        <n v="138.0"/>
        <n v="67.0"/>
        <n v="53.0"/>
        <n v="85.0"/>
        <n v="15.0"/>
        <n v="377.0"/>
        <n v="199.0"/>
        <n v="225.0"/>
        <n v="256.0"/>
        <n v="278.0"/>
        <n v="95.0"/>
        <n v="443.0"/>
        <n v="312.0"/>
        <n v="414.0"/>
        <n v="480.0"/>
        <n v="50.0"/>
        <n v="429.0"/>
        <n v="280.0"/>
        <n v="1.0"/>
        <n v="478.0"/>
        <n v="197.0"/>
        <n v="461.0"/>
        <n v="460.0"/>
        <n v="112.0"/>
        <n v="448.0"/>
        <n v="22.0"/>
        <n v="201.0"/>
        <n v="224.0"/>
        <n v="202.0"/>
        <n v="317.0"/>
        <n v="94.0"/>
        <n v="479.0"/>
        <n v="97.0"/>
        <n v="117.0"/>
        <n v="444.0"/>
        <n v="164.0"/>
        <n v="2.0"/>
        <n v="194.0"/>
        <n v="291.0"/>
        <n v="315.0"/>
        <n v="428.0"/>
        <n v="32.0"/>
        <n v="388.0"/>
        <n v="42.0"/>
        <n v="49.0"/>
        <n v="196.0"/>
        <n v="154.0"/>
        <n v="75.0"/>
        <n v="128.0"/>
        <n v="338.0"/>
        <n v="275.0"/>
        <n v="14.0"/>
        <n v="254.0"/>
        <n v="321.0"/>
        <n v="125.0"/>
        <n v="141.0"/>
        <n v="340.0"/>
        <n v="358.0"/>
        <n v="490.0"/>
        <n v="328.0"/>
        <n v="35.0"/>
        <n v="59.0"/>
        <n v="3.0"/>
        <n v="36.0"/>
        <n v="378.0"/>
        <n v="68.0"/>
        <n v="469.0"/>
        <n v="264.0"/>
        <n v="105.0"/>
        <n v="492.0"/>
        <n v="351.0"/>
        <n v="126.0"/>
        <n v="176.0"/>
        <n v="96.0"/>
        <n v="230.0"/>
      </sharedItems>
    </cacheField>
    <cacheField name="Oct" numFmtId="0">
      <sharedItems containsSemiMixedTypes="0" containsString="0" containsNumber="1" containsInteger="1">
        <n v="375.0"/>
        <n v="379.0"/>
        <n v="165.0"/>
        <n v="303.0"/>
        <n v="419.0"/>
        <n v="405.0"/>
        <n v="201.0"/>
        <n v="255.0"/>
        <n v="300.0"/>
        <n v="296.0"/>
        <n v="439.0"/>
        <n v="60.0"/>
        <n v="313.0"/>
        <n v="215.0"/>
        <n v="332.0"/>
        <n v="334.0"/>
        <n v="243.0"/>
        <n v="476.0"/>
        <n v="156.0"/>
        <n v="173.0"/>
        <n v="278.0"/>
        <n v="465.0"/>
        <n v="388.0"/>
        <n v="149.0"/>
        <n v="368.0"/>
        <n v="269.0"/>
        <n v="421.0"/>
        <n v="207.0"/>
        <n v="71.0"/>
        <n v="470.0"/>
        <n v="169.0"/>
        <n v="487.0"/>
        <n v="446.0"/>
        <n v="115.0"/>
        <n v="53.0"/>
        <n v="237.0"/>
        <n v="179.0"/>
        <n v="9.0"/>
        <n v="344.0"/>
        <n v="404.0"/>
        <n v="473.0"/>
        <n v="372.0"/>
        <n v="349.0"/>
        <n v="244.0"/>
        <n v="317.0"/>
        <n v="457.0"/>
        <n v="26.0"/>
        <n v="188.0"/>
        <n v="416.0"/>
        <n v="408.0"/>
        <n v="264.0"/>
        <n v="396.0"/>
        <n v="468.0"/>
        <n v="384.0"/>
        <n v="4.0"/>
        <n v="55.0"/>
        <n v="217.0"/>
        <n v="21.0"/>
        <n v="157.0"/>
        <n v="125.0"/>
        <n v="248.0"/>
        <n v="315.0"/>
        <n v="27.0"/>
        <n v="88.0"/>
        <n v="44.0"/>
        <n v="287.0"/>
        <n v="148.0"/>
        <n v="407.0"/>
        <n v="280.0"/>
        <n v="135.0"/>
        <n v="331.0"/>
        <n v="301.0"/>
        <n v="437.0"/>
        <n v="258.0"/>
        <n v="365.0"/>
        <n v="176.0"/>
        <n v="356.0"/>
        <n v="69.0"/>
        <n v="402.0"/>
        <n v="279.0"/>
        <n v="477.0"/>
        <n v="147.0"/>
        <n v="432.0"/>
        <n v="8.0"/>
        <n v="131.0"/>
        <n v="212.0"/>
        <n v="142.0"/>
        <n v="494.0"/>
        <n v="411.0"/>
        <n v="265.0"/>
        <n v="74.0"/>
        <n v="56.0"/>
      </sharedItems>
    </cacheField>
    <cacheField name="Nov" numFmtId="0">
      <sharedItems containsSemiMixedTypes="0" containsString="0" containsNumber="1" containsInteger="1">
        <n v="336.0"/>
        <n v="141.0"/>
        <n v="237.0"/>
        <n v="468.0"/>
        <n v="293.0"/>
        <n v="485.0"/>
        <n v="184.0"/>
        <n v="426.0"/>
        <n v="388.0"/>
        <n v="11.0"/>
        <n v="156.0"/>
        <n v="122.0"/>
        <n v="201.0"/>
        <n v="6.0"/>
        <n v="229.0"/>
        <n v="84.0"/>
        <n v="498.0"/>
        <n v="8.0"/>
        <n v="397.0"/>
        <n v="228.0"/>
        <n v="472.0"/>
        <n v="9.0"/>
        <n v="256.0"/>
        <n v="0.0"/>
        <n v="379.0"/>
        <n v="22.0"/>
        <n v="74.0"/>
        <n v="332.0"/>
        <n v="273.0"/>
        <n v="321.0"/>
        <n v="266.0"/>
        <n v="299.0"/>
        <n v="353.0"/>
        <n v="153.0"/>
        <n v="81.0"/>
        <n v="404.0"/>
        <n v="455.0"/>
        <n v="68.0"/>
        <n v="422.0"/>
        <n v="300.0"/>
        <n v="438.0"/>
        <n v="250.0"/>
        <n v="500.0"/>
        <n v="414.0"/>
        <n v="146.0"/>
        <n v="436.0"/>
        <n v="345.0"/>
        <n v="87.0"/>
        <n v="437.0"/>
        <n v="85.0"/>
        <n v="490.0"/>
        <n v="412.0"/>
        <n v="324.0"/>
        <n v="62.0"/>
        <n v="160.0"/>
        <n v="144.0"/>
        <n v="170.0"/>
        <n v="157.0"/>
        <n v="284.0"/>
        <n v="21.0"/>
        <n v="200.0"/>
        <n v="101.0"/>
        <n v="124.0"/>
        <n v="128.0"/>
        <n v="149.0"/>
        <n v="38.0"/>
        <n v="350.0"/>
        <n v="19.0"/>
        <n v="44.0"/>
        <n v="147.0"/>
        <n v="425.0"/>
        <n v="39.0"/>
        <n v="120.0"/>
        <n v="316.0"/>
        <n v="343.0"/>
        <n v="358.0"/>
        <n v="36.0"/>
        <n v="113.0"/>
        <n v="408.0"/>
        <n v="234.0"/>
        <n v="384.0"/>
        <n v="281.0"/>
        <n v="25.0"/>
        <n v="465.0"/>
        <n v="380.0"/>
        <n v="121.0"/>
        <n v="338.0"/>
        <n v="47.0"/>
        <n v="274.0"/>
        <n v="469.0"/>
        <n v="109.0"/>
        <n v="292.0"/>
        <n v="462.0"/>
      </sharedItems>
    </cacheField>
    <cacheField name="Dec" numFmtId="0">
      <sharedItems containsSemiMixedTypes="0" containsString="0" containsNumber="1" containsInteger="1">
        <n v="309.0"/>
        <n v="365.0"/>
        <n v="413.0"/>
        <n v="2.0"/>
        <n v="259.0"/>
        <n v="499.0"/>
        <n v="482.0"/>
        <n v="411.0"/>
        <n v="275.0"/>
        <n v="111.0"/>
        <n v="70.0"/>
        <n v="14.0"/>
        <n v="271.0"/>
        <n v="368.0"/>
        <n v="476.0"/>
        <n v="237.0"/>
        <n v="412.0"/>
        <n v="493.0"/>
        <n v="389.0"/>
        <n v="28.0"/>
        <n v="136.0"/>
        <n v="438.0"/>
        <n v="169.0"/>
        <n v="55.0"/>
        <n v="372.0"/>
        <n v="430.0"/>
        <n v="453.0"/>
        <n v="349.0"/>
        <n v="230.0"/>
        <n v="166.0"/>
        <n v="18.0"/>
        <n v="249.0"/>
        <n v="246.0"/>
        <n v="340.0"/>
        <n v="213.0"/>
        <n v="148.0"/>
        <n v="82.0"/>
        <n v="474.0"/>
        <n v="11.0"/>
        <n v="145.0"/>
        <n v="487.0"/>
        <n v="401.0"/>
        <n v="4.0"/>
        <n v="102.0"/>
        <n v="333.0"/>
        <n v="39.0"/>
        <n v="329.0"/>
        <n v="496.0"/>
        <n v="116.0"/>
        <n v="283.0"/>
        <n v="392.0"/>
        <n v="222.0"/>
        <n v="165.0"/>
        <n v="6.0"/>
        <n v="84.0"/>
        <n v="38.0"/>
        <n v="498.0"/>
        <n v="29.0"/>
        <n v="291.0"/>
        <n v="490.0"/>
        <n v="53.0"/>
        <n v="293.0"/>
        <n v="113.0"/>
        <n v="152.0"/>
        <n v="20.0"/>
        <n v="175.0"/>
        <n v="400.0"/>
        <n v="463.0"/>
        <n v="65.0"/>
        <n v="217.0"/>
        <n v="295.0"/>
        <n v="112.0"/>
        <n v="127.0"/>
        <n v="37.0"/>
        <n v="348.0"/>
        <n v="31.0"/>
        <n v="181.0"/>
        <n v="297.0"/>
        <n v="232.0"/>
        <n v="123.0"/>
        <n v="305.0"/>
        <n v="326.0"/>
        <n v="115.0"/>
        <n v="16.0"/>
        <n v="243.0"/>
        <n v="377.0"/>
        <n v="56.0"/>
        <n v="71.0"/>
        <n v="219.0"/>
      </sharedItems>
    </cacheField>
    <cacheField name="Transactions" numFmtId="0">
      <sharedItems containsSemiMixedTypes="0" containsString="0" containsNumber="1" containsInteger="1">
        <n v="64.0"/>
        <n v="69.0"/>
        <n v="230.0"/>
        <n v="0.0"/>
        <n v="126.0"/>
        <n v="245.0"/>
        <n v="242.0"/>
        <n v="77.0"/>
        <n v="4.0"/>
        <n v="179.0"/>
        <n v="6.0"/>
        <n v="197.0"/>
        <n v="39.0"/>
        <n v="121.0"/>
        <n v="61.0"/>
        <n v="115.0"/>
        <n v="23.0"/>
        <n v="59.0"/>
        <n v="72.0"/>
        <n v="143.0"/>
        <n v="86.0"/>
        <n v="198.0"/>
        <n v="8.0"/>
        <n v="211.0"/>
        <n v="25.0"/>
        <n v="200.0"/>
        <n v="207.0"/>
        <n v="189.0"/>
        <n v="220.0"/>
        <n v="219.0"/>
        <n v="101.0"/>
        <n v="57.0"/>
        <n v="168.0"/>
        <n v="140.0"/>
        <n v="79.0"/>
        <n v="87.0"/>
        <n v="71.0"/>
        <n v="190.0"/>
        <n v="217.0"/>
        <n v="120.0"/>
        <n v="169.0"/>
        <n v="89.0"/>
        <n v="47.0"/>
        <n v="146.0"/>
        <n v="216.0"/>
        <n v="184.0"/>
        <n v="132.0"/>
        <n v="68.0"/>
        <n v="111.0"/>
        <n v="243.0"/>
        <n v="237.0"/>
        <n v="48.0"/>
        <n v="180.0"/>
        <n v="66.0"/>
        <n v="156.0"/>
        <n v="208.0"/>
        <n v="191.0"/>
        <n v="134.0"/>
        <n v="249.0"/>
        <n v="213.0"/>
        <n v="151.0"/>
        <n v="28.0"/>
        <n v="123.0"/>
        <n v="224.0"/>
        <n v="172.0"/>
        <n v="117.0"/>
        <n v="234.0"/>
        <n v="209.0"/>
        <n v="166.0"/>
        <n v="129.0"/>
        <n v="235.0"/>
        <n v="130.0"/>
        <n v="228.0"/>
        <n v="24.0"/>
        <n v="55.0"/>
        <n v="3.0"/>
        <n v="148.0"/>
        <n v="116.0"/>
        <n v="10.0"/>
        <n v="164.0"/>
        <n v="49.0"/>
      </sharedItems>
    </cacheField>
    <cacheField name="Last_Movement_Date" numFmtId="0">
      <sharedItems>
        <s v="2024-06-17"/>
        <s v="2025-06-20"/>
        <s v="2026-01-19"/>
        <s v="2026-02-05"/>
        <s v="2024-09-29"/>
        <s v="2025-04-17"/>
        <s v="2024-10-13"/>
        <s v="2025-01-30"/>
        <s v="2025-03-19"/>
        <s v="2024-09-18"/>
        <s v="2026-04-29"/>
        <s v="2024-08-06"/>
        <s v="2026-05-30"/>
        <s v="2025-05-04"/>
        <s v="2024-07-09"/>
        <s v="2024-08-19"/>
        <s v="2025-02-11"/>
        <s v="2025-11-11"/>
        <s v="2025-09-21"/>
        <s v="2026-01-17"/>
        <s v="2026-01-31"/>
        <s v="2025-10-07"/>
        <s v="2024-07-05"/>
        <s v="2024-11-03"/>
        <s v="2024-11-13"/>
        <s v="2025-10-06"/>
        <s v="2025-08-19"/>
        <s v="2026-01-16"/>
        <s v="2026-05-24"/>
        <s v="2026-05-05"/>
        <s v="2025-04-10"/>
        <s v="2024-12-31"/>
        <s v="2025-05-09"/>
        <s v="2025-06-28"/>
        <s v="2024-10-12"/>
        <s v="2024-07-20"/>
        <s v="2024-12-07"/>
        <s v="2025-05-07"/>
        <s v="2025-09-05"/>
        <s v="2025-02-20"/>
        <s v="2025-07-17"/>
        <s v="2026-04-27"/>
        <s v="2026-03-08"/>
        <s v="2025-12-13"/>
        <s v="2025-06-21"/>
        <s v="2026-05-21"/>
        <s v="2026-05-28"/>
        <s v="2025-05-10"/>
        <s v="2025-09-02"/>
        <s v="2024-12-18"/>
        <s v="2024-10-01"/>
        <s v="2025-12-01"/>
        <s v="2024-10-10"/>
        <s v="2025-03-15"/>
        <s v="2026-06-13"/>
        <s v="2025-08-16"/>
        <s v="2024-10-19"/>
        <s v="2026-02-16"/>
        <s v="2025-09-19"/>
        <s v="2025-10-11"/>
        <s v="2026-04-13"/>
        <s v="2026-06-10"/>
        <s v="2024-06-16"/>
        <s v="2026-01-01"/>
        <s v="2026-03-19"/>
        <s v="2025-05-13"/>
        <s v="2025-09-16"/>
        <s v="2025-12-16"/>
        <s v="2026-03-16"/>
        <s v="2025-01-27"/>
        <s v="2026-05-16"/>
        <s v="2024-09-16"/>
        <s v="2025-08-23"/>
        <s v="2025-10-01"/>
        <s v="2024-11-28"/>
        <s v="2025-09-25"/>
        <s v="2025-09-18"/>
        <s v="2026-03-29"/>
        <s v="2024-10-28"/>
        <s v="2024-11-17"/>
        <s v="2024-06-23"/>
        <s v="2025-08-03"/>
        <s v="2025-02-06"/>
        <s v="2024-09-23"/>
        <s v="2026-02-19"/>
        <s v="2024-08-29"/>
        <s v="2024-08-07"/>
        <s v="2026-02-11"/>
        <s v="2026-06-09"/>
        <s v="2026-01-04"/>
        <s v="2026-03-04"/>
        <s v="2026-04-12"/>
        <s v="2025-09-04"/>
        <s v="2025-06-19"/>
        <s v="2024-06-30"/>
        <s v="2025-05-31"/>
      </sharedItems>
    </cacheField>
    <cacheField name="Annual_Value" numFmtId="0">
      <sharedItems containsSemiMixedTypes="0" containsString="0" containsNumber="1">
        <n v="2.0877447169999998E7"/>
        <n v="2.0078514080000002E7"/>
        <n v="1.73696401E7"/>
        <n v="1.6788562900000002E7"/>
        <n v="1.634362112E7"/>
        <n v="1.6206299580000002E7"/>
        <n v="1.5351439950000001E7"/>
        <n v="1.5012388500000002E7"/>
        <n v="1.431817818E7"/>
        <n v="1.412100956E7"/>
        <n v="1.405602684E7"/>
        <n v="1.402680438E7"/>
        <n v="1.37094834E7"/>
        <n v="1.30989915E7"/>
        <n v="1.304206568E7"/>
        <n v="1.28532678E7"/>
        <n v="1.282285E7"/>
        <n v="1.265062136E7"/>
        <n v="1.202355984E7"/>
        <n v="1.198886304E7"/>
        <n v="1.196253916E7"/>
        <n v="1.185366676E7"/>
        <n v="1.164144576E7"/>
        <n v="1.153548528E7"/>
        <n v="1.143193285E7"/>
        <n v="1.140264441E7"/>
        <n v="1.114870687E7"/>
        <n v="1.104802568E7"/>
        <n v="1.069618619E7"/>
        <n v="1.066627371E7"/>
        <n v="1.0213605E7"/>
        <n v="9803413.28"/>
        <n v="9610488.76"/>
        <n v="9585687.06"/>
        <n v="9559585.799999999"/>
        <n v="9529266.39"/>
        <n v="9476051.31"/>
        <n v="9281056.32"/>
        <n v="9229141.67"/>
        <n v="9189312.86"/>
        <n v="8844426.959999999"/>
        <n v="8571960.299999999"/>
        <n v="8566197.61"/>
        <n v="8505418.17"/>
        <n v="8493116.16"/>
        <n v="8339080.5"/>
        <n v="8190151.0"/>
        <n v="7941491.21"/>
        <n v="7915906.790000001"/>
        <n v="7780673.79"/>
        <n v="7730878.159999999"/>
        <n v="7720901.76"/>
        <n v="7675572.72"/>
        <n v="7641356.579999999"/>
        <n v="7433372.52"/>
        <n v="7084577.11"/>
        <n v="6992372.85"/>
        <n v="6985290.2"/>
        <n v="6947576.35"/>
        <n v="6757749.6"/>
        <n v="6754550.399999999"/>
        <n v="6536498.4"/>
        <n v="6445539.75"/>
        <n v="6134238.16"/>
        <n v="5950467.48"/>
        <n v="5574149.25"/>
        <n v="5454270.3"/>
        <n v="5443967.58"/>
        <n v="5406640.4"/>
        <n v="5302123.68"/>
        <n v="5206509.04"/>
        <n v="5194534.8"/>
        <n v="4877979.6"/>
        <n v="4828641.6"/>
        <n v="4650864.93"/>
        <n v="4524434.32"/>
        <n v="4473719.38"/>
        <n v="4411409.850000001"/>
        <n v="4236018.8"/>
        <n v="3652619.9200000004"/>
        <n v="3516364.7199999997"/>
        <n v="3273984.0199999996"/>
        <n v="2783022.5"/>
        <n v="2471357.28"/>
        <n v="2451905.5399999996"/>
        <n v="2116112.3899999997"/>
        <n v="2059535.22"/>
        <n v="2042986.9000000001"/>
        <n v="1859927.3399999999"/>
        <n v="1566131.4000000001"/>
        <n v="1485851.84"/>
        <n v="1477121.94"/>
        <n v="1473355.2599999998"/>
        <n v="1393403.1300000001"/>
        <n v="1116729.12"/>
        <n v="481853.68000000005"/>
        <n v="341546.94"/>
        <n v="320789.04"/>
        <n v="165540.81"/>
        <n v="121462.8"/>
      </sharedItems>
    </cacheField>
    <cacheField name="Percentage Contribution" numFmtId="4">
      <sharedItems containsSemiMixedTypes="0" containsString="0" containsNumber="1">
        <n v="0.02611965125214377"/>
        <n v="0.02512011076643804"/>
        <n v="0.0217310544767745"/>
        <n v="0.021004072212564458"/>
        <n v="0.020447408170908635"/>
        <n v="0.020275606000604914"/>
        <n v="0.019206096149935913"/>
        <n v="0.018781910876783398"/>
        <n v="0.01791338843213821"/>
        <n v="0.017666711932356822"/>
        <n v="0.01758541243390786"/>
        <n v="0.017548852386229878"/>
        <n v="0.017151853976170507"/>
        <n v="0.01638807115395017"/>
        <n v="0.016316851595661507"/>
        <n v="0.01608064767941689"/>
        <n v="0.016042592148901687"/>
        <n v="0.015827117911280563"/>
        <n v="0.015042604935020968"/>
        <n v="0.014999195972795563"/>
        <n v="0.0149662623214921"/>
        <n v="0.014830052702766772"/>
        <n v="0.014564544258978372"/>
        <n v="0.014431977726223028"/>
        <n v="0.014302423890646874"/>
        <n v="0.014265781295779309"/>
        <n v="0.013948081534375609"/>
        <n v="0.013822119890260918"/>
        <n v="0.01338193557554558"/>
        <n v="0.01334451224790764"/>
        <n v="0.012778181089616038"/>
        <n v="0.012264992643458086"/>
        <n v="0.01202362591220235"/>
        <n v="0.011992596651336052"/>
        <n v="0.011959941518604057"/>
        <n v="0.01192200908323865"/>
        <n v="0.011855432009919445"/>
        <n v="0.011611474925835238"/>
        <n v="0.011546524812833605"/>
        <n v="0.011496695223108536"/>
        <n v="0.011065210503907508"/>
        <n v="0.010724329069549822"/>
        <n v="0.01071711940201487"/>
        <n v="0.010641078602429861"/>
        <n v="0.010625687630138858"/>
        <n v="0.010432974522696526"/>
        <n v="0.010246649701971035"/>
        <n v="0.009935552902523055"/>
        <n v="0.009903544385272507"/>
        <n v="0.009734355175067877"/>
        <n v="0.009672056155513907"/>
        <n v="0.009659574740203403"/>
        <n v="0.009602863845104323"/>
        <n v="0.009560056233775349"/>
        <n v="0.009299848600678753"/>
        <n v="0.008863472716531396"/>
        <n v="0.008748116509637352"/>
        <n v="0.008739255447916797"/>
        <n v="0.008692071872197291"/>
        <n v="0.00845458074275247"/>
        <n v="0.008450578242465655"/>
        <n v="0.008177774668903437"/>
        <n v="0.008063976837347683"/>
        <n v="0.007674509250682113"/>
        <n v="0.007444594834763162"/>
        <n v="0.00697378531253631"/>
        <n v="0.006823805463899807"/>
        <n v="0.006810915791558297"/>
        <n v="0.006764215976399528"/>
        <n v="0.006633455723280996"/>
        <n v="0.006513832810045322"/>
        <n v="0.006498851908871787"/>
        <n v="0.006102811561662391"/>
        <n v="0.0060410850803074255"/>
        <n v="0.005818669735013681"/>
        <n v="0.00566049314311977"/>
        <n v="0.0055970439802366335"/>
        <n v="0.005519088894060024"/>
        <n v="0.005299658183904509"/>
        <n v="0.00456977127951383"/>
        <n v="0.004399303200906731"/>
        <n v="0.0040960621339937355"/>
        <n v="0.0034818230665348768"/>
        <n v="0.0030919005445169383"/>
        <n v="0.0030675645871122677"/>
        <n v="0.0026474557539086538"/>
        <n v="0.0025766723895825428"/>
        <n v="0.0025559688838478964"/>
        <n v="0.0023269441459746933"/>
        <n v="0.0019593777749711185"/>
        <n v="0.001858940490048244"/>
        <n v="0.0018480185635497903"/>
        <n v="0.001843306092375642"/>
        <n v="0.001743278453198239"/>
        <n v="0.0013971332280235589"/>
        <n v="6.028443024512792E-4"/>
        <n v="4.2730736600095885E-4"/>
        <n v="4.013372795094467E-4"/>
        <n v="2.0710713287832468E-4"/>
        <n v="1.5196139404762715E-4"/>
      </sharedItems>
    </cacheField>
    <cacheField name="Cumulative %" numFmtId="4">
      <sharedItems containsSemiMixedTypes="0" containsString="0" containsNumber="1">
        <n v="0.05123976201858181"/>
        <n v="0.0729708164953563"/>
        <n v="0.09397488870792076"/>
        <n v="0.11442229687882939"/>
        <n v="0.1346979028794343"/>
        <n v="0.15390399902937021"/>
        <n v="0.17268590990615362"/>
        <n v="0.19059929833829184"/>
        <n v="0.20826601027064867"/>
        <n v="0.22585142270455652"/>
        <n v="0.2434002750907864"/>
        <n v="0.2605521290669569"/>
        <n v="0.2769402002209071"/>
        <n v="0.2932570518165686"/>
        <n v="0.3093376994959855"/>
        <n v="0.3253802916448872"/>
        <n v="0.34120740955616774"/>
        <n v="0.3562500144911887"/>
        <n v="0.3712492104639843"/>
        <n v="0.3862154727854764"/>
        <n v="0.4010455254882432"/>
        <n v="0.41561006974722153"/>
        <n v="0.43004204747344454"/>
        <n v="0.44434447136409144"/>
        <n v="0.45861025265987077"/>
        <n v="0.47255833419424637"/>
        <n v="0.4863804540845073"/>
        <n v="0.4997623896600529"/>
        <n v="0.5131069019079605"/>
        <n v="0.5258850829975765"/>
        <n v="0.5381500756410346"/>
        <n v="0.5501737015532369"/>
        <n v="0.5621662982045729"/>
        <n v="0.5741262397231769"/>
        <n v="0.5860482488064156"/>
        <n v="0.597903680816335"/>
        <n v="0.6095151557421703"/>
        <n v="0.6210616805550039"/>
        <n v="0.6325583757781125"/>
        <n v="0.64362358628202"/>
        <n v="0.6543479153515698"/>
        <n v="0.6650650347535847"/>
        <n v="0.6757061133560146"/>
        <n v="0.6863318009861534"/>
        <n v="0.69676477550885"/>
        <n v="0.707011425210821"/>
        <n v="0.7169469781133441"/>
        <n v="0.7268505224986166"/>
        <n v="0.7365848776736845"/>
        <n v="0.7462569338291984"/>
        <n v="0.7559165085694018"/>
        <n v="0.7655193724145062"/>
        <n v="0.7750794286482815"/>
        <n v="0.7843792772489603"/>
        <n v="0.7932427499654917"/>
        <n v="0.8019908664751291"/>
        <n v="0.8107301219230458"/>
        <n v="0.8194221937952432"/>
        <n v="0.8278767745379957"/>
        <n v="0.8363273527804613"/>
        <n v="0.8445051274493648"/>
        <n v="0.8525691042867125"/>
        <n v="0.8602436135373946"/>
        <n v="0.8676882083721578"/>
        <n v="0.8746619936846941"/>
        <n v="0.8814857991485939"/>
        <n v="0.8882967149401523"/>
        <n v="0.8950609309165518"/>
        <n v="0.9016943866398328"/>
        <n v="0.9082082194498782"/>
        <n v="0.91470707135875"/>
        <n v="0.9208098829204123"/>
        <n v="0.9268509680007198"/>
        <n v="0.9326696377357334"/>
        <n v="0.9383301308788532"/>
        <n v="0.9439271748590898"/>
        <n v="0.9494462637531499"/>
        <n v="0.9547459219370544"/>
        <n v="0.9593156932165683"/>
        <n v="0.963714996417475"/>
        <n v="0.9678110585514688"/>
        <n v="0.9712928816180036"/>
        <n v="0.9743847821625206"/>
        <n v="0.9774523467496328"/>
        <n v="0.9800998025035415"/>
        <n v="0.982676474893124"/>
        <n v="0.985232443776972"/>
        <n v="0.9875593879229466"/>
        <n v="0.9895187656979177"/>
        <n v="0.991377706187966"/>
        <n v="0.9932257247515157"/>
        <n v="0.9950690308438913"/>
        <n v="0.9968123092970895"/>
        <n v="0.9982094425251131"/>
        <n v="0.9988122868275644"/>
        <n v="0.9992395941935653"/>
        <n v="0.9996409314730748"/>
        <n v="0.9998480386059531"/>
        <n v="1.0000000000000007"/>
      </sharedItems>
    </cacheField>
    <cacheField name="ABC Classification" numFmtId="0">
      <sharedItems>
        <s v="A"/>
        <s v="B"/>
        <s v="C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1:Z1000" sheet="Inventory_Data"/>
  </cacheSource>
  <cacheFields>
    <cacheField name="XYZ Classification" numFmtId="0">
      <sharedItems containsBlank="1">
        <s v="Y"/>
        <s v="Z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01" sheet="ABC–XYZ Matrix"/>
  </cacheSource>
  <cacheFields>
    <cacheField name="Item_Code" numFmtId="0">
      <sharedItems>
        <s v="SKU068"/>
        <s v="SKU003"/>
        <s v="SKU040"/>
        <s v="SKU023"/>
        <s v="SKU049"/>
        <s v="SKU030"/>
        <s v="SKU010"/>
        <s v="SKU063"/>
        <s v="SKU067"/>
        <s v="SKU048"/>
        <s v="SKU046"/>
        <s v="SKU026"/>
        <s v="SKU071"/>
        <s v="SKU053"/>
        <s v="SKU012"/>
        <s v="SKU089"/>
        <s v="SKU019"/>
        <s v="SKU083"/>
        <s v="SKU033"/>
        <s v="SKU002"/>
        <s v="SKU007"/>
        <s v="SKU039"/>
        <s v="SKU088"/>
        <s v="SKU016"/>
        <s v="SKU042"/>
        <s v="SKU060"/>
        <s v="SKU081"/>
        <s v="SKU044"/>
        <s v="SKU045"/>
        <s v="SKU078"/>
        <s v="SKU029"/>
        <s v="SKU092"/>
        <s v="SKU034"/>
        <s v="SKU062"/>
        <s v="SKU094"/>
        <s v="SKU041"/>
        <s v="SKU035"/>
        <s v="SKU015"/>
        <s v="SKU075"/>
        <s v="SKU031"/>
        <s v="SKU050"/>
        <s v="SKU085"/>
        <s v="SKU004"/>
        <s v="SKU027"/>
        <s v="SKU058"/>
        <s v="SKU098"/>
        <s v="SKU090"/>
        <s v="SKU064"/>
        <s v="SKU018"/>
        <s v="SKU096"/>
        <s v="SKU086"/>
        <s v="SKU006"/>
        <s v="SKU057"/>
        <s v="SKU013"/>
        <s v="SKU055"/>
        <s v="SKU025"/>
        <s v="SKU037"/>
        <s v="SKU070"/>
        <s v="SKU014"/>
        <s v="SKU038"/>
        <s v="SKU082"/>
        <s v="SKU024"/>
        <s v="SKU021"/>
        <s v="SKU076"/>
        <s v="SKU020"/>
        <s v="SKU072"/>
        <s v="SKU047"/>
        <s v="SKU097"/>
        <s v="SKU052"/>
        <s v="SKU043"/>
        <s v="SKU066"/>
        <s v="SKU028"/>
        <s v="SKU091"/>
        <s v="SKU080"/>
        <s v="SKU087"/>
        <s v="SKU069"/>
        <s v="SKU079"/>
        <s v="SKU022"/>
        <s v="SKU017"/>
        <s v="SKU054"/>
        <s v="SKU008"/>
        <s v="SKU059"/>
        <s v="SKU065"/>
        <s v="SKU032"/>
        <s v="SKU001"/>
        <s v="SKU051"/>
        <s v="SKU100"/>
        <s v="SKU099"/>
        <s v="SKU036"/>
        <s v="SKU009"/>
        <s v="SKU095"/>
        <s v="SKU073"/>
        <s v="SKU005"/>
        <s v="SKU011"/>
        <s v="SKU074"/>
        <s v="SKU077"/>
        <s v="SKU061"/>
        <s v="SKU056"/>
        <s v="SKU093"/>
        <s v="SKU084"/>
      </sharedItems>
    </cacheField>
    <cacheField name="ABC" numFmtId="0">
      <sharedItems>
        <s v="A"/>
        <s v="B"/>
        <s v="C"/>
      </sharedItems>
    </cacheField>
    <cacheField name="XYZ" numFmtId="0">
      <sharedItems>
        <s v="Y"/>
        <s v="Z"/>
      </sharedItems>
    </cacheField>
    <cacheField name="ABC-XYZ" numFmtId="0">
      <sharedItems>
        <s v="AY"/>
        <s v="AZ"/>
        <s v="BZ"/>
        <s v="BY"/>
        <s v="CZ"/>
        <s v="CY"/>
      </sharedItems>
    </cacheField>
    <cacheField name="Interpretation" numFmtId="0">
      <sharedItems>
        <s v="High value, moderate variability, monitor closely"/>
        <s v="High value, unpredictable demand, high planning risk"/>
        <s v="Medium value, erratic demand, monitor stock levels"/>
        <s v="Medium value, moderate variability, regular review"/>
        <s v="Low value, erratic demand, review for obsolescence"/>
        <s v="Low value, moderate variability, simple monitoring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01" sheet="ABC-FSN Interpretation"/>
  </cacheSource>
  <cacheFields>
    <cacheField name="Item_Code" numFmtId="0">
      <sharedItems>
        <s v="SKU068"/>
        <s v="SKU003"/>
        <s v="SKU040"/>
        <s v="SKU023"/>
        <s v="SKU049"/>
        <s v="SKU030"/>
        <s v="SKU010"/>
        <s v="SKU063"/>
        <s v="SKU067"/>
        <s v="SKU048"/>
        <s v="SKU046"/>
        <s v="SKU026"/>
        <s v="SKU071"/>
        <s v="SKU053"/>
        <s v="SKU012"/>
        <s v="SKU089"/>
        <s v="SKU019"/>
        <s v="SKU083"/>
        <s v="SKU033"/>
        <s v="SKU002"/>
        <s v="SKU007"/>
        <s v="SKU039"/>
        <s v="SKU088"/>
        <s v="SKU016"/>
        <s v="SKU042"/>
        <s v="SKU060"/>
        <s v="SKU081"/>
        <s v="SKU044"/>
        <s v="SKU045"/>
        <s v="SKU078"/>
        <s v="SKU029"/>
        <s v="SKU092"/>
        <s v="SKU034"/>
        <s v="SKU062"/>
        <s v="SKU094"/>
        <s v="SKU041"/>
        <s v="SKU035"/>
        <s v="SKU015"/>
        <s v="SKU075"/>
        <s v="SKU031"/>
        <s v="SKU050"/>
        <s v="SKU085"/>
        <s v="SKU004"/>
        <s v="SKU027"/>
        <s v="SKU058"/>
        <s v="SKU098"/>
        <s v="SKU090"/>
        <s v="SKU064"/>
        <s v="SKU018"/>
        <s v="SKU096"/>
        <s v="SKU086"/>
        <s v="SKU006"/>
        <s v="SKU057"/>
        <s v="SKU013"/>
        <s v="SKU055"/>
        <s v="SKU025"/>
        <s v="SKU037"/>
        <s v="SKU070"/>
        <s v="SKU014"/>
        <s v="SKU038"/>
        <s v="SKU082"/>
        <s v="SKU024"/>
        <s v="SKU021"/>
        <s v="SKU076"/>
        <s v="SKU020"/>
        <s v="SKU072"/>
        <s v="SKU047"/>
        <s v="SKU097"/>
        <s v="SKU052"/>
        <s v="SKU043"/>
        <s v="SKU066"/>
        <s v="SKU028"/>
        <s v="SKU091"/>
        <s v="SKU080"/>
        <s v="SKU087"/>
        <s v="SKU069"/>
        <s v="SKU079"/>
        <s v="SKU022"/>
        <s v="SKU017"/>
        <s v="SKU054"/>
        <s v="SKU008"/>
        <s v="SKU059"/>
        <s v="SKU065"/>
        <s v="SKU032"/>
        <s v="SKU001"/>
        <s v="SKU051"/>
        <s v="SKU100"/>
        <s v="SKU099"/>
        <s v="SKU036"/>
        <s v="SKU009"/>
        <s v="SKU095"/>
        <s v="SKU073"/>
        <s v="SKU005"/>
        <s v="SKU011"/>
        <s v="SKU074"/>
        <s v="SKU077"/>
        <s v="SKU061"/>
        <s v="SKU056"/>
        <s v="SKU093"/>
        <s v="SKU084"/>
      </sharedItems>
    </cacheField>
    <cacheField name="ABC Classification" numFmtId="0">
      <sharedItems>
        <s v="A"/>
        <s v="B"/>
        <s v="C"/>
      </sharedItems>
    </cacheField>
    <cacheField name="FSN Classification" numFmtId="0">
      <sharedItems>
        <s v="N"/>
        <s v="S"/>
        <s v="F"/>
      </sharedItems>
    </cacheField>
    <cacheField name="ABC-FSN" numFmtId="0">
      <sharedItems>
        <s v="AN"/>
        <s v="AS"/>
        <s v="AF"/>
        <s v="BF"/>
        <s v="BN"/>
        <s v="BS"/>
        <s v="CS"/>
        <s v="CF"/>
        <s v="CN"/>
      </sharedItems>
    </cacheField>
    <cacheField name="Interpretation" numFmtId="0">
      <sharedItems>
        <s v="Capital Blocked"/>
        <s v="Important Item"/>
        <s v="Critical Item"/>
        <s v="Regular Fast Mover"/>
        <s v="Slow Asset"/>
        <s v="Routine Stock"/>
        <s v="Low Priority Stock"/>
        <s v="Consumable Item"/>
        <s v="Dead Stock Candidat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ABC Classification" cacheId="0" dataCaption="" compact="0" compactData="0">
  <location ref="A1:B5" firstHeaderRow="0" firstDataRow="1" firstDataCol="0"/>
  <pivotFields>
    <pivotField name="Item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tem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Unit_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nnual_Usage_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J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Fe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M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Ap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Ma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Ju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Ju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Au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S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O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No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De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Transac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Last_Movement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Annual_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ercentage Contribution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umulative %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ABC Classification" axis="axisRow" dataField="1" compact="0" outline="0" multipleItemSelectionAllowed="1" showAll="0" sortType="ascending">
      <items>
        <item x="0"/>
        <item x="1"/>
        <item x="2"/>
        <item t="default"/>
      </items>
    </pivotField>
  </pivotFields>
  <rowFields>
    <field x="21"/>
  </rowFields>
  <dataFields>
    <dataField name="COUNTA of ABC Classification" fld="21" subtotal="count" baseField="0"/>
  </dataFields>
</pivotTableDefinition>
</file>

<file path=xl/pivotTables/pivotTable2.xml><?xml version="1.0" encoding="utf-8"?>
<pivotTableDefinition xmlns="http://schemas.openxmlformats.org/spreadsheetml/2006/main" name="XYZ Classification" cacheId="1" dataCaption="" compact="0" compactData="0">
  <location ref="A1:B5" firstHeaderRow="0" firstDataRow="1" firstDataCol="0"/>
  <pivotFields>
    <pivotField name="XYZ Classification" axis="axisRow" dataField="1" compact="0" outline="0" multipleItemSelectionAllowed="1" showAll="0" sortType="ascending">
      <items>
        <item x="2"/>
        <item x="0"/>
        <item x="1"/>
        <item t="default"/>
      </items>
    </pivotField>
  </pivotFields>
  <rowFields>
    <field x="0"/>
  </rowFields>
  <dataFields>
    <dataField name="COUNTA of XYZ Classification" fld="0" subtotal="count" baseField="0"/>
  </dataFields>
</pivotTableDefinition>
</file>

<file path=xl/pivotTables/pivotTable3.xml><?xml version="1.0" encoding="utf-8"?>
<pivotTableDefinition xmlns="http://schemas.openxmlformats.org/spreadsheetml/2006/main" name="ABC_XYZ Interpretation" cacheId="2" dataCaption="" compact="0" compactData="0">
  <location ref="A1:D6" firstHeaderRow="0" firstDataRow="1" firstDataCol="1"/>
  <pivotFields>
    <pivotField name="Item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BC" axis="axisRow" compact="0" outline="0" multipleItemSelectionAllowed="1" showAll="0" sortType="ascending">
      <items>
        <item x="0"/>
        <item x="1"/>
        <item x="2"/>
        <item t="default"/>
      </items>
    </pivotField>
    <pivotField name="XYZ" axis="axisCol" compact="0" outline="0" multipleItemSelectionAllowed="1" showAll="0" sortType="ascending">
      <items>
        <item x="0"/>
        <item x="1"/>
        <item t="default"/>
      </items>
    </pivotField>
    <pivotField name="ABC-XYZ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Interpretatio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</pivotFields>
  <rowFields>
    <field x="1"/>
  </rowFields>
  <colFields>
    <field x="2"/>
  </colFields>
  <dataFields>
    <dataField name="COUNTA of ABC-XYZ" fld="3" subtotal="count" baseField="0"/>
  </dataFields>
</pivotTableDefinition>
</file>

<file path=xl/pivotTables/pivotTable4.xml><?xml version="1.0" encoding="utf-8"?>
<pivotTableDefinition xmlns="http://schemas.openxmlformats.org/spreadsheetml/2006/main" name="ABC_FSN Matrix" cacheId="3" dataCaption="" compact="0" compactData="0">
  <location ref="A1:B11" firstHeaderRow="0" firstDataRow="1" firstDataCol="0"/>
  <pivotFields>
    <pivotField name="Item_Cod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ABC Classification" compact="0" outline="0" multipleItemSelectionAllowed="1" showAll="0">
      <items>
        <item x="0"/>
        <item x="1"/>
        <item x="2"/>
        <item t="default"/>
      </items>
    </pivotField>
    <pivotField name="FSN Classification" compact="0" outline="0" multipleItemSelectionAllowed="1" showAll="0">
      <items>
        <item x="0"/>
        <item x="1"/>
        <item x="2"/>
        <item t="default"/>
      </items>
    </pivotField>
    <pivotField name="ABC-FSN" axis="axisRow" compact="0" outline="0" multipleItemSelectionAllowed="1" showAll="0" sortType="ascending">
      <items>
        <item x="2"/>
        <item x="0"/>
        <item x="1"/>
        <item x="3"/>
        <item x="4"/>
        <item x="5"/>
        <item x="7"/>
        <item x="8"/>
        <item x="6"/>
        <item t="default"/>
      </items>
    </pivotField>
    <pivotField name="Interpret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3"/>
  </rowFields>
  <dataFields>
    <dataField name="COUNTA of Item_Code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7.71"/>
    <col customWidth="1" min="3" max="3" width="10.0"/>
    <col customWidth="1" min="4" max="4" width="17.43"/>
    <col customWidth="1" min="5" max="5" width="4.29"/>
    <col customWidth="1" min="6" max="16" width="8.71"/>
    <col customWidth="1" min="17" max="17" width="11.71"/>
    <col customWidth="1" min="18" max="18" width="20.0"/>
    <col customWidth="1" min="19" max="19" width="12.86"/>
    <col customWidth="1" min="20" max="20" width="21.86"/>
    <col customWidth="1" min="21" max="21" width="12.71"/>
    <col customWidth="1" min="22" max="22" width="11.14"/>
    <col customWidth="1" min="23" max="23" width="13.71"/>
    <col customWidth="1" min="24" max="24" width="17.43"/>
    <col customWidth="1" min="25" max="25" width="20.71"/>
    <col customWidth="1" min="26" max="27" width="15.71"/>
    <col customWidth="1" min="28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2" t="s">
        <v>26</v>
      </c>
      <c r="AB1" s="2"/>
    </row>
    <row r="2">
      <c r="A2" s="1" t="s">
        <v>27</v>
      </c>
      <c r="B2" s="1" t="s">
        <v>28</v>
      </c>
      <c r="C2" s="1">
        <v>4858.61</v>
      </c>
      <c r="D2" s="1">
        <v>4297.0</v>
      </c>
      <c r="E2" s="1">
        <v>442.0</v>
      </c>
      <c r="F2" s="1">
        <v>183.0</v>
      </c>
      <c r="G2" s="1">
        <v>459.0</v>
      </c>
      <c r="H2" s="1">
        <v>217.0</v>
      </c>
      <c r="I2" s="1">
        <v>348.0</v>
      </c>
      <c r="J2" s="1">
        <v>460.0</v>
      </c>
      <c r="K2" s="1">
        <v>229.0</v>
      </c>
      <c r="L2" s="1">
        <v>490.0</v>
      </c>
      <c r="M2" s="1">
        <v>449.0</v>
      </c>
      <c r="N2" s="1">
        <v>375.0</v>
      </c>
      <c r="O2" s="1">
        <v>336.0</v>
      </c>
      <c r="P2" s="1">
        <v>309.0</v>
      </c>
      <c r="Q2" s="1">
        <v>64.0</v>
      </c>
      <c r="R2" s="1" t="s">
        <v>29</v>
      </c>
      <c r="S2" s="4">
        <f t="shared" ref="S2:S101" si="1">C2*D2</f>
        <v>20877447.17</v>
      </c>
      <c r="T2" s="5">
        <f t="shared" ref="T2:T101" si="2">S2/$S$103</f>
        <v>0.02611965125</v>
      </c>
      <c r="U2" s="5">
        <f t="shared" ref="U2:U101" si="3">SUM($T$2:T3)</f>
        <v>0.05123976202</v>
      </c>
      <c r="V2" s="4" t="str">
        <f t="shared" ref="V2:V101" si="4">IF(U2&lt;=0.8,"A",IF(U2&lt;=0.95,"B","C"))</f>
        <v>A</v>
      </c>
      <c r="W2" s="5">
        <f t="shared" ref="W2:W101" si="5">AVERAGE(E2:P2)</f>
        <v>358.0833333</v>
      </c>
      <c r="X2" s="5">
        <f t="shared" ref="X2:X101" si="6">_xlfn.STDEV.P(E2:P2)</f>
        <v>101.565626</v>
      </c>
      <c r="Y2" s="5">
        <f t="shared" ref="Y2:Y101" si="7">X2/W2</f>
        <v>0.2836368425</v>
      </c>
      <c r="Z2" s="4" t="str">
        <f t="shared" ref="Z2:Z101" si="8">IF(Y2&lt;=0.2,"X",IF(Y2&lt;=0.5,"Y","Z"))</f>
        <v>Y</v>
      </c>
      <c r="AA2" s="4" t="str">
        <f t="shared" ref="AA2:AA101" si="9">IF(Q2&gt;=$Q$105,"F",
 IF(Q2&lt;=$Q$106,"N",
 "S"))</f>
        <v>N</v>
      </c>
    </row>
    <row r="3">
      <c r="A3" s="1" t="s">
        <v>30</v>
      </c>
      <c r="B3" s="1" t="s">
        <v>31</v>
      </c>
      <c r="C3" s="1">
        <v>4999.63</v>
      </c>
      <c r="D3" s="1">
        <v>4016.0</v>
      </c>
      <c r="E3" s="1">
        <v>262.0</v>
      </c>
      <c r="F3" s="1">
        <v>354.0</v>
      </c>
      <c r="G3" s="1">
        <v>471.0</v>
      </c>
      <c r="H3" s="1">
        <v>448.0</v>
      </c>
      <c r="I3" s="1">
        <v>146.0</v>
      </c>
      <c r="J3" s="1">
        <v>375.0</v>
      </c>
      <c r="K3" s="1">
        <v>279.0</v>
      </c>
      <c r="L3" s="1">
        <v>413.0</v>
      </c>
      <c r="M3" s="1">
        <v>383.0</v>
      </c>
      <c r="N3" s="1">
        <v>379.0</v>
      </c>
      <c r="O3" s="1">
        <v>141.0</v>
      </c>
      <c r="P3" s="1">
        <v>365.0</v>
      </c>
      <c r="Q3" s="1">
        <v>69.0</v>
      </c>
      <c r="R3" s="1" t="s">
        <v>32</v>
      </c>
      <c r="S3" s="4">
        <f t="shared" si="1"/>
        <v>20078514.08</v>
      </c>
      <c r="T3" s="5">
        <f t="shared" si="2"/>
        <v>0.02512011077</v>
      </c>
      <c r="U3" s="5">
        <f t="shared" si="3"/>
        <v>0.0729708165</v>
      </c>
      <c r="V3" s="4" t="str">
        <f t="shared" si="4"/>
        <v>A</v>
      </c>
      <c r="W3" s="5">
        <f t="shared" si="5"/>
        <v>334.6666667</v>
      </c>
      <c r="X3" s="5">
        <f t="shared" si="6"/>
        <v>102.5795085</v>
      </c>
      <c r="Y3" s="5">
        <f t="shared" si="7"/>
        <v>0.3065124755</v>
      </c>
      <c r="Z3" s="4" t="str">
        <f t="shared" si="8"/>
        <v>Y</v>
      </c>
      <c r="AA3" s="4" t="str">
        <f t="shared" si="9"/>
        <v>S</v>
      </c>
    </row>
    <row r="4">
      <c r="A4" s="1" t="s">
        <v>33</v>
      </c>
      <c r="B4" s="1" t="s">
        <v>34</v>
      </c>
      <c r="C4" s="1">
        <v>4636.85</v>
      </c>
      <c r="D4" s="1">
        <v>3746.0</v>
      </c>
      <c r="E4" s="1">
        <v>481.0</v>
      </c>
      <c r="F4" s="1">
        <v>372.0</v>
      </c>
      <c r="G4" s="1">
        <v>41.0</v>
      </c>
      <c r="H4" s="1">
        <v>361.0</v>
      </c>
      <c r="I4" s="1">
        <v>428.0</v>
      </c>
      <c r="J4" s="1">
        <v>471.0</v>
      </c>
      <c r="K4" s="1">
        <v>85.0</v>
      </c>
      <c r="L4" s="1">
        <v>237.0</v>
      </c>
      <c r="M4" s="1">
        <v>455.0</v>
      </c>
      <c r="N4" s="1">
        <v>165.0</v>
      </c>
      <c r="O4" s="1">
        <v>237.0</v>
      </c>
      <c r="P4" s="1">
        <v>413.0</v>
      </c>
      <c r="Q4" s="1">
        <v>69.0</v>
      </c>
      <c r="R4" s="1" t="s">
        <v>35</v>
      </c>
      <c r="S4" s="4">
        <f t="shared" si="1"/>
        <v>17369640.1</v>
      </c>
      <c r="T4" s="5">
        <f t="shared" si="2"/>
        <v>0.02173105448</v>
      </c>
      <c r="U4" s="5">
        <f t="shared" si="3"/>
        <v>0.09397488871</v>
      </c>
      <c r="V4" s="4" t="str">
        <f t="shared" si="4"/>
        <v>A</v>
      </c>
      <c r="W4" s="5">
        <f t="shared" si="5"/>
        <v>312.1666667</v>
      </c>
      <c r="X4" s="5">
        <f t="shared" si="6"/>
        <v>147.69836</v>
      </c>
      <c r="Y4" s="5">
        <f t="shared" si="7"/>
        <v>0.4731394342</v>
      </c>
      <c r="Z4" s="4" t="str">
        <f t="shared" si="8"/>
        <v>Y</v>
      </c>
      <c r="AA4" s="4" t="str">
        <f t="shared" si="9"/>
        <v>S</v>
      </c>
    </row>
    <row r="5">
      <c r="A5" s="1" t="s">
        <v>36</v>
      </c>
      <c r="B5" s="1" t="s">
        <v>37</v>
      </c>
      <c r="C5" s="1">
        <v>4723.85</v>
      </c>
      <c r="D5" s="1">
        <v>3554.0</v>
      </c>
      <c r="E5" s="1">
        <v>180.0</v>
      </c>
      <c r="F5" s="1">
        <v>390.0</v>
      </c>
      <c r="G5" s="1">
        <v>409.0</v>
      </c>
      <c r="H5" s="1">
        <v>370.0</v>
      </c>
      <c r="I5" s="1">
        <v>340.0</v>
      </c>
      <c r="J5" s="1">
        <v>352.0</v>
      </c>
      <c r="K5" s="1">
        <v>157.0</v>
      </c>
      <c r="L5" s="1">
        <v>272.0</v>
      </c>
      <c r="M5" s="1">
        <v>311.0</v>
      </c>
      <c r="N5" s="1">
        <v>303.0</v>
      </c>
      <c r="O5" s="1">
        <v>468.0</v>
      </c>
      <c r="P5" s="1">
        <v>2.0</v>
      </c>
      <c r="Q5" s="1">
        <v>230.0</v>
      </c>
      <c r="R5" s="1" t="s">
        <v>38</v>
      </c>
      <c r="S5" s="4">
        <f t="shared" si="1"/>
        <v>16788562.9</v>
      </c>
      <c r="T5" s="5">
        <f t="shared" si="2"/>
        <v>0.02100407221</v>
      </c>
      <c r="U5" s="5">
        <f t="shared" si="3"/>
        <v>0.1144222969</v>
      </c>
      <c r="V5" s="4" t="str">
        <f t="shared" si="4"/>
        <v>A</v>
      </c>
      <c r="W5" s="5">
        <f t="shared" si="5"/>
        <v>296.1666667</v>
      </c>
      <c r="X5" s="5">
        <f t="shared" si="6"/>
        <v>123.0852234</v>
      </c>
      <c r="Y5" s="5">
        <f t="shared" si="7"/>
        <v>0.4155944516</v>
      </c>
      <c r="Z5" s="4" t="str">
        <f t="shared" si="8"/>
        <v>Y</v>
      </c>
      <c r="AA5" s="4" t="str">
        <f t="shared" si="9"/>
        <v>F</v>
      </c>
    </row>
    <row r="6">
      <c r="A6" s="1" t="s">
        <v>39</v>
      </c>
      <c r="B6" s="1" t="s">
        <v>40</v>
      </c>
      <c r="C6" s="1">
        <v>4841.12</v>
      </c>
      <c r="D6" s="1">
        <v>3376.0</v>
      </c>
      <c r="E6" s="1">
        <v>105.0</v>
      </c>
      <c r="F6" s="1">
        <v>269.0</v>
      </c>
      <c r="G6" s="1">
        <v>280.0</v>
      </c>
      <c r="H6" s="1">
        <v>450.0</v>
      </c>
      <c r="I6" s="1">
        <v>93.0</v>
      </c>
      <c r="J6" s="1">
        <v>489.0</v>
      </c>
      <c r="K6" s="1">
        <v>219.0</v>
      </c>
      <c r="L6" s="1">
        <v>240.0</v>
      </c>
      <c r="M6" s="1">
        <v>260.0</v>
      </c>
      <c r="N6" s="1">
        <v>419.0</v>
      </c>
      <c r="O6" s="1">
        <v>293.0</v>
      </c>
      <c r="P6" s="1">
        <v>259.0</v>
      </c>
      <c r="Q6" s="1">
        <v>69.0</v>
      </c>
      <c r="R6" s="1" t="s">
        <v>41</v>
      </c>
      <c r="S6" s="4">
        <f t="shared" si="1"/>
        <v>16343621.12</v>
      </c>
      <c r="T6" s="5">
        <f t="shared" si="2"/>
        <v>0.02044740817</v>
      </c>
      <c r="U6" s="5">
        <f t="shared" si="3"/>
        <v>0.1346979029</v>
      </c>
      <c r="V6" s="4" t="str">
        <f t="shared" si="4"/>
        <v>A</v>
      </c>
      <c r="W6" s="5">
        <f t="shared" si="5"/>
        <v>281.3333333</v>
      </c>
      <c r="X6" s="5">
        <f t="shared" si="6"/>
        <v>116.8783793</v>
      </c>
      <c r="Y6" s="5">
        <f t="shared" si="7"/>
        <v>0.4154444763</v>
      </c>
      <c r="Z6" s="4" t="str">
        <f t="shared" si="8"/>
        <v>Y</v>
      </c>
      <c r="AA6" s="4" t="str">
        <f t="shared" si="9"/>
        <v>S</v>
      </c>
    </row>
    <row r="7">
      <c r="A7" s="1" t="s">
        <v>42</v>
      </c>
      <c r="B7" s="1" t="s">
        <v>43</v>
      </c>
      <c r="C7" s="1">
        <v>4325.14</v>
      </c>
      <c r="D7" s="1">
        <v>3747.0</v>
      </c>
      <c r="E7" s="1">
        <v>160.0</v>
      </c>
      <c r="F7" s="1">
        <v>302.0</v>
      </c>
      <c r="G7" s="1">
        <v>446.0</v>
      </c>
      <c r="H7" s="1">
        <v>307.0</v>
      </c>
      <c r="I7" s="1">
        <v>203.0</v>
      </c>
      <c r="J7" s="1">
        <v>28.0</v>
      </c>
      <c r="K7" s="1">
        <v>399.0</v>
      </c>
      <c r="L7" s="1">
        <v>180.0</v>
      </c>
      <c r="M7" s="1">
        <v>333.0</v>
      </c>
      <c r="N7" s="1">
        <v>405.0</v>
      </c>
      <c r="O7" s="1">
        <v>485.0</v>
      </c>
      <c r="P7" s="1">
        <v>499.0</v>
      </c>
      <c r="Q7" s="1">
        <v>0.0</v>
      </c>
      <c r="R7" s="1" t="s">
        <v>44</v>
      </c>
      <c r="S7" s="4">
        <f t="shared" si="1"/>
        <v>16206299.58</v>
      </c>
      <c r="T7" s="5">
        <f t="shared" si="2"/>
        <v>0.020275606</v>
      </c>
      <c r="U7" s="5">
        <f t="shared" si="3"/>
        <v>0.153903999</v>
      </c>
      <c r="V7" s="4" t="str">
        <f t="shared" si="4"/>
        <v>A</v>
      </c>
      <c r="W7" s="5">
        <f t="shared" si="5"/>
        <v>312.25</v>
      </c>
      <c r="X7" s="5">
        <f t="shared" si="6"/>
        <v>139.2546379</v>
      </c>
      <c r="Y7" s="5">
        <f t="shared" si="7"/>
        <v>0.4459716185</v>
      </c>
      <c r="Z7" s="4" t="str">
        <f t="shared" si="8"/>
        <v>Y</v>
      </c>
      <c r="AA7" s="4" t="str">
        <f t="shared" si="9"/>
        <v>N</v>
      </c>
    </row>
    <row r="8">
      <c r="A8" s="1" t="s">
        <v>45</v>
      </c>
      <c r="B8" s="1" t="s">
        <v>46</v>
      </c>
      <c r="C8" s="1">
        <v>3804.57</v>
      </c>
      <c r="D8" s="1">
        <v>4035.0</v>
      </c>
      <c r="E8" s="1">
        <v>479.0</v>
      </c>
      <c r="F8" s="1">
        <v>415.0</v>
      </c>
      <c r="G8" s="1">
        <v>486.0</v>
      </c>
      <c r="H8" s="1">
        <v>321.0</v>
      </c>
      <c r="I8" s="1">
        <v>296.0</v>
      </c>
      <c r="J8" s="1">
        <v>261.0</v>
      </c>
      <c r="K8" s="1">
        <v>214.0</v>
      </c>
      <c r="L8" s="1">
        <v>423.0</v>
      </c>
      <c r="M8" s="1">
        <v>273.0</v>
      </c>
      <c r="N8" s="1">
        <v>201.0</v>
      </c>
      <c r="O8" s="1">
        <v>184.0</v>
      </c>
      <c r="P8" s="1">
        <v>482.0</v>
      </c>
      <c r="Q8" s="1">
        <v>126.0</v>
      </c>
      <c r="R8" s="1" t="s">
        <v>47</v>
      </c>
      <c r="S8" s="4">
        <f t="shared" si="1"/>
        <v>15351439.95</v>
      </c>
      <c r="T8" s="5">
        <f t="shared" si="2"/>
        <v>0.01920609615</v>
      </c>
      <c r="U8" s="5">
        <f t="shared" si="3"/>
        <v>0.1726859099</v>
      </c>
      <c r="V8" s="4" t="str">
        <f t="shared" si="4"/>
        <v>A</v>
      </c>
      <c r="W8" s="5">
        <f t="shared" si="5"/>
        <v>336.25</v>
      </c>
      <c r="X8" s="5">
        <f t="shared" si="6"/>
        <v>110.1915945</v>
      </c>
      <c r="Y8" s="5">
        <f t="shared" si="7"/>
        <v>0.3277073443</v>
      </c>
      <c r="Z8" s="4" t="str">
        <f t="shared" si="8"/>
        <v>Y</v>
      </c>
      <c r="AA8" s="4" t="str">
        <f t="shared" si="9"/>
        <v>S</v>
      </c>
    </row>
    <row r="9">
      <c r="A9" s="1" t="s">
        <v>48</v>
      </c>
      <c r="B9" s="1" t="s">
        <v>49</v>
      </c>
      <c r="C9" s="1">
        <v>4481.31</v>
      </c>
      <c r="D9" s="1">
        <v>3350.0</v>
      </c>
      <c r="E9" s="1">
        <v>178.0</v>
      </c>
      <c r="F9" s="1">
        <v>487.0</v>
      </c>
      <c r="G9" s="1">
        <v>56.0</v>
      </c>
      <c r="H9" s="1">
        <v>300.0</v>
      </c>
      <c r="I9" s="1">
        <v>451.0</v>
      </c>
      <c r="J9" s="1">
        <v>205.0</v>
      </c>
      <c r="K9" s="1">
        <v>67.0</v>
      </c>
      <c r="L9" s="1">
        <v>449.0</v>
      </c>
      <c r="M9" s="1">
        <v>65.0</v>
      </c>
      <c r="N9" s="1">
        <v>255.0</v>
      </c>
      <c r="O9" s="1">
        <v>426.0</v>
      </c>
      <c r="P9" s="1">
        <v>411.0</v>
      </c>
      <c r="Q9" s="1">
        <v>245.0</v>
      </c>
      <c r="R9" s="1" t="s">
        <v>50</v>
      </c>
      <c r="S9" s="4">
        <f t="shared" si="1"/>
        <v>15012388.5</v>
      </c>
      <c r="T9" s="5">
        <f t="shared" si="2"/>
        <v>0.01878191088</v>
      </c>
      <c r="U9" s="5">
        <f t="shared" si="3"/>
        <v>0.1905992983</v>
      </c>
      <c r="V9" s="4" t="str">
        <f t="shared" si="4"/>
        <v>A</v>
      </c>
      <c r="W9" s="5">
        <f t="shared" si="5"/>
        <v>279.1666667</v>
      </c>
      <c r="X9" s="5">
        <f t="shared" si="6"/>
        <v>157.5710598</v>
      </c>
      <c r="Y9" s="5">
        <f t="shared" si="7"/>
        <v>0.5644336471</v>
      </c>
      <c r="Z9" s="4" t="str">
        <f t="shared" si="8"/>
        <v>Z</v>
      </c>
      <c r="AA9" s="4" t="str">
        <f t="shared" si="9"/>
        <v>F</v>
      </c>
    </row>
    <row r="10">
      <c r="A10" s="1" t="s">
        <v>51</v>
      </c>
      <c r="B10" s="1" t="s">
        <v>52</v>
      </c>
      <c r="C10" s="1">
        <v>4775.91</v>
      </c>
      <c r="D10" s="1">
        <v>2998.0</v>
      </c>
      <c r="E10" s="1">
        <v>154.0</v>
      </c>
      <c r="F10" s="1">
        <v>493.0</v>
      </c>
      <c r="G10" s="1">
        <v>251.0</v>
      </c>
      <c r="H10" s="1">
        <v>73.0</v>
      </c>
      <c r="I10" s="1">
        <v>191.0</v>
      </c>
      <c r="J10" s="1">
        <v>7.0</v>
      </c>
      <c r="K10" s="1">
        <v>197.0</v>
      </c>
      <c r="L10" s="1">
        <v>181.0</v>
      </c>
      <c r="M10" s="1">
        <v>488.0</v>
      </c>
      <c r="N10" s="1">
        <v>300.0</v>
      </c>
      <c r="O10" s="1">
        <v>388.0</v>
      </c>
      <c r="P10" s="1">
        <v>275.0</v>
      </c>
      <c r="Q10" s="1">
        <v>242.0</v>
      </c>
      <c r="R10" s="1" t="s">
        <v>53</v>
      </c>
      <c r="S10" s="4">
        <f t="shared" si="1"/>
        <v>14318178.18</v>
      </c>
      <c r="T10" s="5">
        <f t="shared" si="2"/>
        <v>0.01791338843</v>
      </c>
      <c r="U10" s="5">
        <f t="shared" si="3"/>
        <v>0.2082660103</v>
      </c>
      <c r="V10" s="4" t="str">
        <f t="shared" si="4"/>
        <v>A</v>
      </c>
      <c r="W10" s="5">
        <f t="shared" si="5"/>
        <v>249.8333333</v>
      </c>
      <c r="X10" s="5">
        <f t="shared" si="6"/>
        <v>143.9061229</v>
      </c>
      <c r="Y10" s="5">
        <f t="shared" si="7"/>
        <v>0.5760084975</v>
      </c>
      <c r="Z10" s="4" t="str">
        <f t="shared" si="8"/>
        <v>Z</v>
      </c>
      <c r="AA10" s="4" t="str">
        <f t="shared" si="9"/>
        <v>F</v>
      </c>
    </row>
    <row r="11">
      <c r="A11" s="1" t="s">
        <v>54</v>
      </c>
      <c r="B11" s="1" t="s">
        <v>55</v>
      </c>
      <c r="C11" s="1">
        <v>4859.26</v>
      </c>
      <c r="D11" s="1">
        <v>2906.0</v>
      </c>
      <c r="E11" s="1">
        <v>181.0</v>
      </c>
      <c r="F11" s="1">
        <v>405.0</v>
      </c>
      <c r="G11" s="1">
        <v>442.0</v>
      </c>
      <c r="H11" s="1">
        <v>461.0</v>
      </c>
      <c r="I11" s="1">
        <v>301.0</v>
      </c>
      <c r="J11" s="1">
        <v>310.0</v>
      </c>
      <c r="K11" s="1">
        <v>121.0</v>
      </c>
      <c r="L11" s="1">
        <v>83.0</v>
      </c>
      <c r="M11" s="1">
        <v>184.0</v>
      </c>
      <c r="N11" s="1">
        <v>296.0</v>
      </c>
      <c r="O11" s="1">
        <v>11.0</v>
      </c>
      <c r="P11" s="1">
        <v>111.0</v>
      </c>
      <c r="Q11" s="1">
        <v>77.0</v>
      </c>
      <c r="R11" s="1" t="s">
        <v>56</v>
      </c>
      <c r="S11" s="4">
        <f t="shared" si="1"/>
        <v>14121009.56</v>
      </c>
      <c r="T11" s="5">
        <f t="shared" si="2"/>
        <v>0.01766671193</v>
      </c>
      <c r="U11" s="5">
        <f t="shared" si="3"/>
        <v>0.2258514227</v>
      </c>
      <c r="V11" s="4" t="str">
        <f t="shared" si="4"/>
        <v>A</v>
      </c>
      <c r="W11" s="5">
        <f t="shared" si="5"/>
        <v>242.1666667</v>
      </c>
      <c r="X11" s="5">
        <f t="shared" si="6"/>
        <v>142.3258195</v>
      </c>
      <c r="Y11" s="5">
        <f t="shared" si="7"/>
        <v>0.5877184562</v>
      </c>
      <c r="Z11" s="4" t="str">
        <f t="shared" si="8"/>
        <v>Z</v>
      </c>
      <c r="AA11" s="4" t="str">
        <f t="shared" si="9"/>
        <v>S</v>
      </c>
    </row>
    <row r="12">
      <c r="A12" s="1" t="s">
        <v>57</v>
      </c>
      <c r="B12" s="1" t="s">
        <v>49</v>
      </c>
      <c r="C12" s="1">
        <v>3790.73</v>
      </c>
      <c r="D12" s="1">
        <v>3708.0</v>
      </c>
      <c r="E12" s="1">
        <v>430.0</v>
      </c>
      <c r="F12" s="1">
        <v>409.0</v>
      </c>
      <c r="G12" s="1">
        <v>300.0</v>
      </c>
      <c r="H12" s="1">
        <v>168.0</v>
      </c>
      <c r="I12" s="1">
        <v>348.0</v>
      </c>
      <c r="J12" s="1">
        <v>413.0</v>
      </c>
      <c r="K12" s="1">
        <v>447.0</v>
      </c>
      <c r="L12" s="1">
        <v>290.0</v>
      </c>
      <c r="M12" s="1">
        <v>238.0</v>
      </c>
      <c r="N12" s="1">
        <v>439.0</v>
      </c>
      <c r="O12" s="1">
        <v>156.0</v>
      </c>
      <c r="P12" s="1">
        <v>70.0</v>
      </c>
      <c r="Q12" s="1">
        <v>4.0</v>
      </c>
      <c r="R12" s="1" t="s">
        <v>58</v>
      </c>
      <c r="S12" s="4">
        <f t="shared" si="1"/>
        <v>14056026.84</v>
      </c>
      <c r="T12" s="5">
        <f t="shared" si="2"/>
        <v>0.01758541243</v>
      </c>
      <c r="U12" s="5">
        <f t="shared" si="3"/>
        <v>0.2434002751</v>
      </c>
      <c r="V12" s="4" t="str">
        <f t="shared" si="4"/>
        <v>A</v>
      </c>
      <c r="W12" s="5">
        <f t="shared" si="5"/>
        <v>309</v>
      </c>
      <c r="X12" s="5">
        <f t="shared" si="6"/>
        <v>122.0710176</v>
      </c>
      <c r="Y12" s="5">
        <f t="shared" si="7"/>
        <v>0.3950518368</v>
      </c>
      <c r="Z12" s="4" t="str">
        <f t="shared" si="8"/>
        <v>Y</v>
      </c>
      <c r="AA12" s="4" t="str">
        <f t="shared" si="9"/>
        <v>N</v>
      </c>
    </row>
    <row r="13">
      <c r="A13" s="1" t="s">
        <v>59</v>
      </c>
      <c r="B13" s="1" t="s">
        <v>60</v>
      </c>
      <c r="C13" s="1">
        <v>4958.22</v>
      </c>
      <c r="D13" s="1">
        <v>2829.0</v>
      </c>
      <c r="E13" s="1">
        <v>406.0</v>
      </c>
      <c r="F13" s="1">
        <v>222.0</v>
      </c>
      <c r="G13" s="1">
        <v>117.0</v>
      </c>
      <c r="H13" s="1">
        <v>449.0</v>
      </c>
      <c r="I13" s="1">
        <v>79.0</v>
      </c>
      <c r="J13" s="1">
        <v>494.0</v>
      </c>
      <c r="K13" s="1">
        <v>135.0</v>
      </c>
      <c r="L13" s="1">
        <v>412.0</v>
      </c>
      <c r="M13" s="1">
        <v>319.0</v>
      </c>
      <c r="N13" s="1">
        <v>60.0</v>
      </c>
      <c r="O13" s="1">
        <v>122.0</v>
      </c>
      <c r="P13" s="1">
        <v>14.0</v>
      </c>
      <c r="Q13" s="1">
        <v>179.0</v>
      </c>
      <c r="R13" s="1" t="s">
        <v>61</v>
      </c>
      <c r="S13" s="4">
        <f t="shared" si="1"/>
        <v>14026804.38</v>
      </c>
      <c r="T13" s="5">
        <f t="shared" si="2"/>
        <v>0.01754885239</v>
      </c>
      <c r="U13" s="5">
        <f t="shared" si="3"/>
        <v>0.2605521291</v>
      </c>
      <c r="V13" s="4" t="str">
        <f t="shared" si="4"/>
        <v>A</v>
      </c>
      <c r="W13" s="5">
        <f t="shared" si="5"/>
        <v>235.75</v>
      </c>
      <c r="X13" s="5">
        <f t="shared" si="6"/>
        <v>163.5950921</v>
      </c>
      <c r="Y13" s="5">
        <f t="shared" si="7"/>
        <v>0.6939346432</v>
      </c>
      <c r="Z13" s="4" t="str">
        <f t="shared" si="8"/>
        <v>Z</v>
      </c>
      <c r="AA13" s="4" t="str">
        <f t="shared" si="9"/>
        <v>S</v>
      </c>
    </row>
    <row r="14">
      <c r="A14" s="1" t="s">
        <v>62</v>
      </c>
      <c r="B14" s="1" t="s">
        <v>63</v>
      </c>
      <c r="C14" s="1">
        <v>4785.16</v>
      </c>
      <c r="D14" s="1">
        <v>2865.0</v>
      </c>
      <c r="E14" s="1">
        <v>231.0</v>
      </c>
      <c r="F14" s="1">
        <v>272.0</v>
      </c>
      <c r="G14" s="1">
        <v>407.0</v>
      </c>
      <c r="H14" s="1">
        <v>14.0</v>
      </c>
      <c r="I14" s="1">
        <v>92.0</v>
      </c>
      <c r="J14" s="1">
        <v>402.0</v>
      </c>
      <c r="K14" s="1">
        <v>194.0</v>
      </c>
      <c r="L14" s="1">
        <v>410.0</v>
      </c>
      <c r="M14" s="1">
        <v>58.0</v>
      </c>
      <c r="N14" s="1">
        <v>313.0</v>
      </c>
      <c r="O14" s="1">
        <v>201.0</v>
      </c>
      <c r="P14" s="1">
        <v>271.0</v>
      </c>
      <c r="Q14" s="1">
        <v>4.0</v>
      </c>
      <c r="R14" s="1" t="s">
        <v>64</v>
      </c>
      <c r="S14" s="4">
        <f t="shared" si="1"/>
        <v>13709483.4</v>
      </c>
      <c r="T14" s="5">
        <f t="shared" si="2"/>
        <v>0.01715185398</v>
      </c>
      <c r="U14" s="5">
        <f t="shared" si="3"/>
        <v>0.2769402002</v>
      </c>
      <c r="V14" s="4" t="str">
        <f t="shared" si="4"/>
        <v>A</v>
      </c>
      <c r="W14" s="5">
        <f t="shared" si="5"/>
        <v>238.75</v>
      </c>
      <c r="X14" s="5">
        <f t="shared" si="6"/>
        <v>129.1479287</v>
      </c>
      <c r="Y14" s="5">
        <f t="shared" si="7"/>
        <v>0.540933733</v>
      </c>
      <c r="Z14" s="4" t="str">
        <f t="shared" si="8"/>
        <v>Z</v>
      </c>
      <c r="AA14" s="4" t="str">
        <f t="shared" si="9"/>
        <v>N</v>
      </c>
    </row>
    <row r="15">
      <c r="A15" s="1" t="s">
        <v>65</v>
      </c>
      <c r="B15" s="1" t="s">
        <v>66</v>
      </c>
      <c r="C15" s="1">
        <v>4158.41</v>
      </c>
      <c r="D15" s="1">
        <v>3150.0</v>
      </c>
      <c r="E15" s="1">
        <v>343.0</v>
      </c>
      <c r="F15" s="1">
        <v>376.0</v>
      </c>
      <c r="G15" s="1">
        <v>417.0</v>
      </c>
      <c r="H15" s="1">
        <v>422.0</v>
      </c>
      <c r="I15" s="1">
        <v>347.0</v>
      </c>
      <c r="J15" s="1">
        <v>181.0</v>
      </c>
      <c r="K15" s="1">
        <v>13.0</v>
      </c>
      <c r="L15" s="1">
        <v>211.0</v>
      </c>
      <c r="M15" s="1">
        <v>251.0</v>
      </c>
      <c r="N15" s="1">
        <v>215.0</v>
      </c>
      <c r="O15" s="1">
        <v>6.0</v>
      </c>
      <c r="P15" s="1">
        <v>368.0</v>
      </c>
      <c r="Q15" s="1">
        <v>6.0</v>
      </c>
      <c r="R15" s="1" t="s">
        <v>67</v>
      </c>
      <c r="S15" s="4">
        <f t="shared" si="1"/>
        <v>13098991.5</v>
      </c>
      <c r="T15" s="5">
        <f t="shared" si="2"/>
        <v>0.01638807115</v>
      </c>
      <c r="U15" s="5">
        <f t="shared" si="3"/>
        <v>0.2932570518</v>
      </c>
      <c r="V15" s="4" t="str">
        <f t="shared" si="4"/>
        <v>A</v>
      </c>
      <c r="W15" s="5">
        <f t="shared" si="5"/>
        <v>262.5</v>
      </c>
      <c r="X15" s="5">
        <f t="shared" si="6"/>
        <v>137.4375616</v>
      </c>
      <c r="Y15" s="5">
        <f t="shared" si="7"/>
        <v>0.5235716632</v>
      </c>
      <c r="Z15" s="4" t="str">
        <f t="shared" si="8"/>
        <v>Z</v>
      </c>
      <c r="AA15" s="4" t="str">
        <f t="shared" si="9"/>
        <v>N</v>
      </c>
    </row>
    <row r="16">
      <c r="A16" s="1" t="s">
        <v>68</v>
      </c>
      <c r="B16" s="1" t="s">
        <v>69</v>
      </c>
      <c r="C16" s="1">
        <v>3704.08</v>
      </c>
      <c r="D16" s="1">
        <v>3521.0</v>
      </c>
      <c r="E16" s="1">
        <v>240.0</v>
      </c>
      <c r="F16" s="1">
        <v>484.0</v>
      </c>
      <c r="G16" s="1">
        <v>201.0</v>
      </c>
      <c r="H16" s="1">
        <v>409.0</v>
      </c>
      <c r="I16" s="1">
        <v>121.0</v>
      </c>
      <c r="J16" s="1">
        <v>240.0</v>
      </c>
      <c r="K16" s="1">
        <v>114.0</v>
      </c>
      <c r="L16" s="1">
        <v>342.0</v>
      </c>
      <c r="M16" s="1">
        <v>333.0</v>
      </c>
      <c r="N16" s="1">
        <v>332.0</v>
      </c>
      <c r="O16" s="1">
        <v>229.0</v>
      </c>
      <c r="P16" s="1">
        <v>476.0</v>
      </c>
      <c r="Q16" s="1">
        <v>197.0</v>
      </c>
      <c r="R16" s="1" t="s">
        <v>70</v>
      </c>
      <c r="S16" s="4">
        <f t="shared" si="1"/>
        <v>13042065.68</v>
      </c>
      <c r="T16" s="5">
        <f t="shared" si="2"/>
        <v>0.0163168516</v>
      </c>
      <c r="U16" s="5">
        <f t="shared" si="3"/>
        <v>0.3093376995</v>
      </c>
      <c r="V16" s="4" t="str">
        <f t="shared" si="4"/>
        <v>A</v>
      </c>
      <c r="W16" s="5">
        <f t="shared" si="5"/>
        <v>293.4166667</v>
      </c>
      <c r="X16" s="5">
        <f t="shared" si="6"/>
        <v>118.5850316</v>
      </c>
      <c r="Y16" s="5">
        <f t="shared" si="7"/>
        <v>0.4041523372</v>
      </c>
      <c r="Z16" s="4" t="str">
        <f t="shared" si="8"/>
        <v>Y</v>
      </c>
      <c r="AA16" s="4" t="str">
        <f t="shared" si="9"/>
        <v>S</v>
      </c>
    </row>
    <row r="17">
      <c r="A17" s="1" t="s">
        <v>71</v>
      </c>
      <c r="B17" s="1" t="s">
        <v>72</v>
      </c>
      <c r="C17" s="1">
        <v>4876.05</v>
      </c>
      <c r="D17" s="1">
        <v>2636.0</v>
      </c>
      <c r="E17" s="1">
        <v>46.0</v>
      </c>
      <c r="F17" s="1">
        <v>325.0</v>
      </c>
      <c r="G17" s="1">
        <v>8.0</v>
      </c>
      <c r="H17" s="1">
        <v>42.0</v>
      </c>
      <c r="I17" s="1">
        <v>196.0</v>
      </c>
      <c r="J17" s="1">
        <v>389.0</v>
      </c>
      <c r="K17" s="1">
        <v>329.0</v>
      </c>
      <c r="L17" s="1">
        <v>463.0</v>
      </c>
      <c r="M17" s="1">
        <v>183.0</v>
      </c>
      <c r="N17" s="1">
        <v>334.0</v>
      </c>
      <c r="O17" s="1">
        <v>84.0</v>
      </c>
      <c r="P17" s="1">
        <v>237.0</v>
      </c>
      <c r="Q17" s="1">
        <v>39.0</v>
      </c>
      <c r="R17" s="1" t="s">
        <v>73</v>
      </c>
      <c r="S17" s="4">
        <f t="shared" si="1"/>
        <v>12853267.8</v>
      </c>
      <c r="T17" s="5">
        <f t="shared" si="2"/>
        <v>0.01608064768</v>
      </c>
      <c r="U17" s="5">
        <f t="shared" si="3"/>
        <v>0.3253802916</v>
      </c>
      <c r="V17" s="4" t="str">
        <f t="shared" si="4"/>
        <v>A</v>
      </c>
      <c r="W17" s="5">
        <f t="shared" si="5"/>
        <v>219.6666667</v>
      </c>
      <c r="X17" s="5">
        <f t="shared" si="6"/>
        <v>144.6676267</v>
      </c>
      <c r="Y17" s="5">
        <f t="shared" si="7"/>
        <v>0.6585779669</v>
      </c>
      <c r="Z17" s="4" t="str">
        <f t="shared" si="8"/>
        <v>Z</v>
      </c>
      <c r="AA17" s="4" t="str">
        <f t="shared" si="9"/>
        <v>N</v>
      </c>
    </row>
    <row r="18">
      <c r="A18" s="1" t="s">
        <v>74</v>
      </c>
      <c r="B18" s="1" t="s">
        <v>55</v>
      </c>
      <c r="C18" s="1">
        <v>4756.25</v>
      </c>
      <c r="D18" s="1">
        <v>2696.0</v>
      </c>
      <c r="E18" s="1">
        <v>278.0</v>
      </c>
      <c r="F18" s="1">
        <v>110.0</v>
      </c>
      <c r="G18" s="1">
        <v>122.0</v>
      </c>
      <c r="H18" s="1">
        <v>113.0</v>
      </c>
      <c r="I18" s="1">
        <v>420.0</v>
      </c>
      <c r="J18" s="1">
        <v>439.0</v>
      </c>
      <c r="K18" s="1">
        <v>19.0</v>
      </c>
      <c r="L18" s="1">
        <v>3.0</v>
      </c>
      <c r="M18" s="1">
        <v>39.0</v>
      </c>
      <c r="N18" s="1">
        <v>243.0</v>
      </c>
      <c r="O18" s="1">
        <v>498.0</v>
      </c>
      <c r="P18" s="1">
        <v>412.0</v>
      </c>
      <c r="Q18" s="1">
        <v>121.0</v>
      </c>
      <c r="R18" s="1" t="s">
        <v>75</v>
      </c>
      <c r="S18" s="4">
        <f t="shared" si="1"/>
        <v>12822850</v>
      </c>
      <c r="T18" s="5">
        <f t="shared" si="2"/>
        <v>0.01604259215</v>
      </c>
      <c r="U18" s="5">
        <f t="shared" si="3"/>
        <v>0.3412074096</v>
      </c>
      <c r="V18" s="4" t="str">
        <f t="shared" si="4"/>
        <v>A</v>
      </c>
      <c r="W18" s="5">
        <f t="shared" si="5"/>
        <v>224.6666667</v>
      </c>
      <c r="X18" s="5">
        <f t="shared" si="6"/>
        <v>172.9991972</v>
      </c>
      <c r="Y18" s="5">
        <f t="shared" si="7"/>
        <v>0.7700261002</v>
      </c>
      <c r="Z18" s="4" t="str">
        <f t="shared" si="8"/>
        <v>Z</v>
      </c>
      <c r="AA18" s="4" t="str">
        <f t="shared" si="9"/>
        <v>S</v>
      </c>
    </row>
    <row r="19">
      <c r="A19" s="1" t="s">
        <v>76</v>
      </c>
      <c r="B19" s="1" t="s">
        <v>43</v>
      </c>
      <c r="C19" s="1">
        <v>3923.89</v>
      </c>
      <c r="D19" s="1">
        <v>3224.0</v>
      </c>
      <c r="E19" s="1">
        <v>5.0</v>
      </c>
      <c r="F19" s="1">
        <v>209.0</v>
      </c>
      <c r="G19" s="1">
        <v>446.0</v>
      </c>
      <c r="H19" s="1">
        <v>405.0</v>
      </c>
      <c r="I19" s="1">
        <v>94.0</v>
      </c>
      <c r="J19" s="1">
        <v>442.0</v>
      </c>
      <c r="K19" s="1">
        <v>431.0</v>
      </c>
      <c r="L19" s="1">
        <v>352.0</v>
      </c>
      <c r="M19" s="1">
        <v>5.0</v>
      </c>
      <c r="N19" s="1">
        <v>334.0</v>
      </c>
      <c r="O19" s="1">
        <v>8.0</v>
      </c>
      <c r="P19" s="1">
        <v>493.0</v>
      </c>
      <c r="Q19" s="1">
        <v>61.0</v>
      </c>
      <c r="R19" s="1" t="s">
        <v>77</v>
      </c>
      <c r="S19" s="4">
        <f t="shared" si="1"/>
        <v>12650621.36</v>
      </c>
      <c r="T19" s="5">
        <f t="shared" si="2"/>
        <v>0.01582711791</v>
      </c>
      <c r="U19" s="5">
        <f t="shared" si="3"/>
        <v>0.3562500145</v>
      </c>
      <c r="V19" s="4" t="str">
        <f t="shared" si="4"/>
        <v>A</v>
      </c>
      <c r="W19" s="5">
        <f t="shared" si="5"/>
        <v>268.6666667</v>
      </c>
      <c r="X19" s="5">
        <f t="shared" si="6"/>
        <v>184.6222871</v>
      </c>
      <c r="Y19" s="5">
        <f t="shared" si="7"/>
        <v>0.6871797286</v>
      </c>
      <c r="Z19" s="4" t="str">
        <f t="shared" si="8"/>
        <v>Z</v>
      </c>
      <c r="AA19" s="4" t="str">
        <f t="shared" si="9"/>
        <v>N</v>
      </c>
    </row>
    <row r="20">
      <c r="A20" s="1" t="s">
        <v>78</v>
      </c>
      <c r="B20" s="1" t="s">
        <v>72</v>
      </c>
      <c r="C20" s="1">
        <v>3170.77</v>
      </c>
      <c r="D20" s="1">
        <v>3792.0</v>
      </c>
      <c r="E20" s="1">
        <v>283.0</v>
      </c>
      <c r="F20" s="1">
        <v>291.0</v>
      </c>
      <c r="G20" s="1">
        <v>168.0</v>
      </c>
      <c r="H20" s="1">
        <v>436.0</v>
      </c>
      <c r="I20" s="1">
        <v>446.0</v>
      </c>
      <c r="J20" s="1">
        <v>212.0</v>
      </c>
      <c r="K20" s="1">
        <v>152.0</v>
      </c>
      <c r="L20" s="1">
        <v>284.0</v>
      </c>
      <c r="M20" s="1">
        <v>372.0</v>
      </c>
      <c r="N20" s="1">
        <v>476.0</v>
      </c>
      <c r="O20" s="1">
        <v>397.0</v>
      </c>
      <c r="P20" s="1">
        <v>275.0</v>
      </c>
      <c r="Q20" s="1">
        <v>115.0</v>
      </c>
      <c r="R20" s="1" t="s">
        <v>79</v>
      </c>
      <c r="S20" s="4">
        <f t="shared" si="1"/>
        <v>12023559.84</v>
      </c>
      <c r="T20" s="5">
        <f t="shared" si="2"/>
        <v>0.01504260494</v>
      </c>
      <c r="U20" s="5">
        <f t="shared" si="3"/>
        <v>0.3712492105</v>
      </c>
      <c r="V20" s="4" t="str">
        <f t="shared" si="4"/>
        <v>A</v>
      </c>
      <c r="W20" s="5">
        <f t="shared" si="5"/>
        <v>316</v>
      </c>
      <c r="X20" s="5">
        <f t="shared" si="6"/>
        <v>104.3359957</v>
      </c>
      <c r="Y20" s="5">
        <f t="shared" si="7"/>
        <v>0.3301772016</v>
      </c>
      <c r="Z20" s="4" t="str">
        <f t="shared" si="8"/>
        <v>Y</v>
      </c>
      <c r="AA20" s="4" t="str">
        <f t="shared" si="9"/>
        <v>S</v>
      </c>
    </row>
    <row r="21" ht="15.75" customHeight="1">
      <c r="A21" s="1" t="s">
        <v>80</v>
      </c>
      <c r="B21" s="1" t="s">
        <v>81</v>
      </c>
      <c r="C21" s="1">
        <v>4865.61</v>
      </c>
      <c r="D21" s="1">
        <v>2464.0</v>
      </c>
      <c r="E21" s="1">
        <v>217.0</v>
      </c>
      <c r="F21" s="1">
        <v>263.0</v>
      </c>
      <c r="G21" s="1">
        <v>34.0</v>
      </c>
      <c r="H21" s="1">
        <v>45.0</v>
      </c>
      <c r="I21" s="1">
        <v>431.0</v>
      </c>
      <c r="J21" s="1">
        <v>365.0</v>
      </c>
      <c r="K21" s="1">
        <v>88.0</v>
      </c>
      <c r="L21" s="1">
        <v>110.0</v>
      </c>
      <c r="M21" s="1">
        <v>138.0</v>
      </c>
      <c r="N21" s="1">
        <v>156.0</v>
      </c>
      <c r="O21" s="1">
        <v>228.0</v>
      </c>
      <c r="P21" s="1">
        <v>389.0</v>
      </c>
      <c r="Q21" s="1">
        <v>23.0</v>
      </c>
      <c r="R21" s="1" t="s">
        <v>58</v>
      </c>
      <c r="S21" s="4">
        <f t="shared" si="1"/>
        <v>11988863.04</v>
      </c>
      <c r="T21" s="5">
        <f t="shared" si="2"/>
        <v>0.01499919597</v>
      </c>
      <c r="U21" s="5">
        <f t="shared" si="3"/>
        <v>0.3862154728</v>
      </c>
      <c r="V21" s="4" t="str">
        <f t="shared" si="4"/>
        <v>A</v>
      </c>
      <c r="W21" s="5">
        <f t="shared" si="5"/>
        <v>205.3333333</v>
      </c>
      <c r="X21" s="5">
        <f t="shared" si="6"/>
        <v>128.7803902</v>
      </c>
      <c r="Y21" s="5">
        <f t="shared" si="7"/>
        <v>0.6271772248</v>
      </c>
      <c r="Z21" s="4" t="str">
        <f t="shared" si="8"/>
        <v>Z</v>
      </c>
      <c r="AA21" s="4" t="str">
        <f t="shared" si="9"/>
        <v>N</v>
      </c>
    </row>
    <row r="22" ht="15.75" customHeight="1">
      <c r="A22" s="1" t="s">
        <v>82</v>
      </c>
      <c r="B22" s="1" t="s">
        <v>69</v>
      </c>
      <c r="C22" s="1">
        <v>3802.46</v>
      </c>
      <c r="D22" s="1">
        <v>3146.0</v>
      </c>
      <c r="E22" s="1">
        <v>136.0</v>
      </c>
      <c r="F22" s="1">
        <v>379.0</v>
      </c>
      <c r="G22" s="1">
        <v>375.0</v>
      </c>
      <c r="H22" s="1">
        <v>5.0</v>
      </c>
      <c r="I22" s="1">
        <v>245.0</v>
      </c>
      <c r="J22" s="1">
        <v>440.0</v>
      </c>
      <c r="K22" s="1">
        <v>437.0</v>
      </c>
      <c r="L22" s="1">
        <v>1.0</v>
      </c>
      <c r="M22" s="1">
        <v>455.0</v>
      </c>
      <c r="N22" s="1">
        <v>173.0</v>
      </c>
      <c r="O22" s="1">
        <v>472.0</v>
      </c>
      <c r="P22" s="1">
        <v>28.0</v>
      </c>
      <c r="Q22" s="1">
        <v>59.0</v>
      </c>
      <c r="R22" s="1" t="s">
        <v>83</v>
      </c>
      <c r="S22" s="4">
        <f t="shared" si="1"/>
        <v>11962539.16</v>
      </c>
      <c r="T22" s="5">
        <f t="shared" si="2"/>
        <v>0.01496626232</v>
      </c>
      <c r="U22" s="5">
        <f t="shared" si="3"/>
        <v>0.4010455255</v>
      </c>
      <c r="V22" s="4" t="str">
        <f t="shared" si="4"/>
        <v>A</v>
      </c>
      <c r="W22" s="5">
        <f t="shared" si="5"/>
        <v>262.1666667</v>
      </c>
      <c r="X22" s="5">
        <f t="shared" si="6"/>
        <v>178.6821355</v>
      </c>
      <c r="Y22" s="5">
        <f t="shared" si="7"/>
        <v>0.6815593218</v>
      </c>
      <c r="Z22" s="4" t="str">
        <f t="shared" si="8"/>
        <v>Z</v>
      </c>
      <c r="AA22" s="4" t="str">
        <f t="shared" si="9"/>
        <v>N</v>
      </c>
    </row>
    <row r="23" ht="15.75" customHeight="1">
      <c r="A23" s="1" t="s">
        <v>84</v>
      </c>
      <c r="B23" s="1" t="s">
        <v>85</v>
      </c>
      <c r="C23" s="1">
        <v>4008.68</v>
      </c>
      <c r="D23" s="1">
        <v>2957.0</v>
      </c>
      <c r="E23" s="1">
        <v>415.0</v>
      </c>
      <c r="F23" s="1">
        <v>354.0</v>
      </c>
      <c r="G23" s="1">
        <v>312.0</v>
      </c>
      <c r="H23" s="1">
        <v>452.0</v>
      </c>
      <c r="I23" s="1">
        <v>207.0</v>
      </c>
      <c r="J23" s="1">
        <v>44.0</v>
      </c>
      <c r="K23" s="1">
        <v>312.0</v>
      </c>
      <c r="L23" s="1">
        <v>371.0</v>
      </c>
      <c r="M23" s="1">
        <v>67.0</v>
      </c>
      <c r="N23" s="1">
        <v>278.0</v>
      </c>
      <c r="O23" s="1">
        <v>9.0</v>
      </c>
      <c r="P23" s="1">
        <v>136.0</v>
      </c>
      <c r="Q23" s="1">
        <v>72.0</v>
      </c>
      <c r="R23" s="1" t="s">
        <v>86</v>
      </c>
      <c r="S23" s="4">
        <f t="shared" si="1"/>
        <v>11853666.76</v>
      </c>
      <c r="T23" s="5">
        <f t="shared" si="2"/>
        <v>0.0148300527</v>
      </c>
      <c r="U23" s="5">
        <f t="shared" si="3"/>
        <v>0.4156100697</v>
      </c>
      <c r="V23" s="4" t="str">
        <f t="shared" si="4"/>
        <v>A</v>
      </c>
      <c r="W23" s="5">
        <f t="shared" si="5"/>
        <v>246.4166667</v>
      </c>
      <c r="X23" s="5">
        <f t="shared" si="6"/>
        <v>144.5265018</v>
      </c>
      <c r="Y23" s="5">
        <f t="shared" si="7"/>
        <v>0.5865126891</v>
      </c>
      <c r="Z23" s="4" t="str">
        <f t="shared" si="8"/>
        <v>Z</v>
      </c>
      <c r="AA23" s="4" t="str">
        <f t="shared" si="9"/>
        <v>S</v>
      </c>
    </row>
    <row r="24" ht="15.75" customHeight="1">
      <c r="A24" s="1" t="s">
        <v>87</v>
      </c>
      <c r="B24" s="1" t="s">
        <v>49</v>
      </c>
      <c r="C24" s="1">
        <v>3432.03</v>
      </c>
      <c r="D24" s="1">
        <v>3392.0</v>
      </c>
      <c r="E24" s="1">
        <v>236.0</v>
      </c>
      <c r="F24" s="1">
        <v>414.0</v>
      </c>
      <c r="G24" s="1">
        <v>103.0</v>
      </c>
      <c r="H24" s="1">
        <v>440.0</v>
      </c>
      <c r="I24" s="1">
        <v>96.0</v>
      </c>
      <c r="J24" s="1">
        <v>5.0</v>
      </c>
      <c r="K24" s="1">
        <v>388.0</v>
      </c>
      <c r="L24" s="1">
        <v>487.0</v>
      </c>
      <c r="M24" s="1">
        <v>53.0</v>
      </c>
      <c r="N24" s="1">
        <v>476.0</v>
      </c>
      <c r="O24" s="1">
        <v>256.0</v>
      </c>
      <c r="P24" s="1">
        <v>438.0</v>
      </c>
      <c r="Q24" s="1">
        <v>143.0</v>
      </c>
      <c r="R24" s="1" t="s">
        <v>88</v>
      </c>
      <c r="S24" s="4">
        <f t="shared" si="1"/>
        <v>11641445.76</v>
      </c>
      <c r="T24" s="5">
        <f t="shared" si="2"/>
        <v>0.01456454426</v>
      </c>
      <c r="U24" s="5">
        <f t="shared" si="3"/>
        <v>0.4300420475</v>
      </c>
      <c r="V24" s="4" t="str">
        <f t="shared" si="4"/>
        <v>A</v>
      </c>
      <c r="W24" s="5">
        <f t="shared" si="5"/>
        <v>282.6666667</v>
      </c>
      <c r="X24" s="5">
        <f t="shared" si="6"/>
        <v>172.2920647</v>
      </c>
      <c r="Y24" s="5">
        <f t="shared" si="7"/>
        <v>0.6095238138</v>
      </c>
      <c r="Z24" s="4" t="str">
        <f t="shared" si="8"/>
        <v>Z</v>
      </c>
      <c r="AA24" s="4" t="str">
        <f t="shared" si="9"/>
        <v>S</v>
      </c>
    </row>
    <row r="25" ht="15.75" customHeight="1">
      <c r="A25" s="1" t="s">
        <v>89</v>
      </c>
      <c r="B25" s="1" t="s">
        <v>90</v>
      </c>
      <c r="C25" s="1">
        <v>3928.98</v>
      </c>
      <c r="D25" s="1">
        <v>2936.0</v>
      </c>
      <c r="E25" s="1">
        <v>438.0</v>
      </c>
      <c r="F25" s="1">
        <v>473.0</v>
      </c>
      <c r="G25" s="1">
        <v>252.0</v>
      </c>
      <c r="H25" s="1">
        <v>305.0</v>
      </c>
      <c r="I25" s="1">
        <v>253.0</v>
      </c>
      <c r="J25" s="1">
        <v>47.0</v>
      </c>
      <c r="K25" s="1">
        <v>371.0</v>
      </c>
      <c r="L25" s="1">
        <v>78.0</v>
      </c>
      <c r="M25" s="1">
        <v>85.0</v>
      </c>
      <c r="N25" s="1">
        <v>465.0</v>
      </c>
      <c r="O25" s="1">
        <v>0.0</v>
      </c>
      <c r="P25" s="1">
        <v>169.0</v>
      </c>
      <c r="Q25" s="1">
        <v>86.0</v>
      </c>
      <c r="R25" s="1" t="s">
        <v>91</v>
      </c>
      <c r="S25" s="4">
        <f t="shared" si="1"/>
        <v>11535485.28</v>
      </c>
      <c r="T25" s="5">
        <f t="shared" si="2"/>
        <v>0.01443197773</v>
      </c>
      <c r="U25" s="5">
        <f t="shared" si="3"/>
        <v>0.4443444714</v>
      </c>
      <c r="V25" s="4" t="str">
        <f t="shared" si="4"/>
        <v>A</v>
      </c>
      <c r="W25" s="5">
        <f t="shared" si="5"/>
        <v>244.6666667</v>
      </c>
      <c r="X25" s="5">
        <f t="shared" si="6"/>
        <v>162.2022058</v>
      </c>
      <c r="Y25" s="5">
        <f t="shared" si="7"/>
        <v>0.6629517947</v>
      </c>
      <c r="Z25" s="4" t="str">
        <f t="shared" si="8"/>
        <v>Z</v>
      </c>
      <c r="AA25" s="4" t="str">
        <f t="shared" si="9"/>
        <v>S</v>
      </c>
    </row>
    <row r="26" ht="15.75" customHeight="1">
      <c r="A26" s="1" t="s">
        <v>92</v>
      </c>
      <c r="B26" s="1" t="s">
        <v>93</v>
      </c>
      <c r="C26" s="1">
        <v>4858.45</v>
      </c>
      <c r="D26" s="1">
        <v>2353.0</v>
      </c>
      <c r="E26" s="1">
        <v>219.0</v>
      </c>
      <c r="F26" s="1">
        <v>261.0</v>
      </c>
      <c r="G26" s="1">
        <v>265.0</v>
      </c>
      <c r="H26" s="1">
        <v>374.0</v>
      </c>
      <c r="I26" s="1">
        <v>126.0</v>
      </c>
      <c r="J26" s="1">
        <v>15.0</v>
      </c>
      <c r="K26" s="1">
        <v>51.0</v>
      </c>
      <c r="L26" s="1">
        <v>205.0</v>
      </c>
      <c r="M26" s="1">
        <v>15.0</v>
      </c>
      <c r="N26" s="1">
        <v>388.0</v>
      </c>
      <c r="O26" s="1">
        <v>379.0</v>
      </c>
      <c r="P26" s="1">
        <v>55.0</v>
      </c>
      <c r="Q26" s="1">
        <v>198.0</v>
      </c>
      <c r="R26" s="1" t="s">
        <v>94</v>
      </c>
      <c r="S26" s="4">
        <f t="shared" si="1"/>
        <v>11431932.85</v>
      </c>
      <c r="T26" s="5">
        <f t="shared" si="2"/>
        <v>0.01430242389</v>
      </c>
      <c r="U26" s="5">
        <f t="shared" si="3"/>
        <v>0.4586102527</v>
      </c>
      <c r="V26" s="4" t="str">
        <f t="shared" si="4"/>
        <v>A</v>
      </c>
      <c r="W26" s="5">
        <f t="shared" si="5"/>
        <v>196.0833333</v>
      </c>
      <c r="X26" s="5">
        <f t="shared" si="6"/>
        <v>136.3087539</v>
      </c>
      <c r="Y26" s="5">
        <f t="shared" si="7"/>
        <v>0.6951572659</v>
      </c>
      <c r="Z26" s="4" t="str">
        <f t="shared" si="8"/>
        <v>Z</v>
      </c>
      <c r="AA26" s="4" t="str">
        <f t="shared" si="9"/>
        <v>S</v>
      </c>
    </row>
    <row r="27" ht="15.75" customHeight="1">
      <c r="A27" s="1" t="s">
        <v>95</v>
      </c>
      <c r="B27" s="1" t="s">
        <v>96</v>
      </c>
      <c r="C27" s="1">
        <v>3584.61</v>
      </c>
      <c r="D27" s="1">
        <v>3181.0</v>
      </c>
      <c r="E27" s="1">
        <v>440.0</v>
      </c>
      <c r="F27" s="1">
        <v>161.0</v>
      </c>
      <c r="G27" s="1">
        <v>356.0</v>
      </c>
      <c r="H27" s="1">
        <v>413.0</v>
      </c>
      <c r="I27" s="1">
        <v>336.0</v>
      </c>
      <c r="J27" s="1">
        <v>280.0</v>
      </c>
      <c r="K27" s="1">
        <v>131.0</v>
      </c>
      <c r="L27" s="1">
        <v>144.0</v>
      </c>
      <c r="M27" s="1">
        <v>377.0</v>
      </c>
      <c r="N27" s="1">
        <v>149.0</v>
      </c>
      <c r="O27" s="1">
        <v>22.0</v>
      </c>
      <c r="P27" s="1">
        <v>372.0</v>
      </c>
      <c r="Q27" s="1">
        <v>8.0</v>
      </c>
      <c r="R27" s="1" t="s">
        <v>97</v>
      </c>
      <c r="S27" s="4">
        <f t="shared" si="1"/>
        <v>11402644.41</v>
      </c>
      <c r="T27" s="5">
        <f t="shared" si="2"/>
        <v>0.0142657813</v>
      </c>
      <c r="U27" s="5">
        <f t="shared" si="3"/>
        <v>0.4725583342</v>
      </c>
      <c r="V27" s="4" t="str">
        <f t="shared" si="4"/>
        <v>A</v>
      </c>
      <c r="W27" s="5">
        <f t="shared" si="5"/>
        <v>265.0833333</v>
      </c>
      <c r="X27" s="5">
        <f t="shared" si="6"/>
        <v>131.017466</v>
      </c>
      <c r="Y27" s="5">
        <f t="shared" si="7"/>
        <v>0.4942501074</v>
      </c>
      <c r="Z27" s="4" t="str">
        <f t="shared" si="8"/>
        <v>Y</v>
      </c>
      <c r="AA27" s="4" t="str">
        <f t="shared" si="9"/>
        <v>N</v>
      </c>
    </row>
    <row r="28" ht="15.75" customHeight="1">
      <c r="A28" s="1" t="s">
        <v>98</v>
      </c>
      <c r="B28" s="1" t="s">
        <v>99</v>
      </c>
      <c r="C28" s="1">
        <v>3395.89</v>
      </c>
      <c r="D28" s="1">
        <v>3283.0</v>
      </c>
      <c r="E28" s="1">
        <v>202.0</v>
      </c>
      <c r="F28" s="1">
        <v>382.0</v>
      </c>
      <c r="G28" s="1">
        <v>160.0</v>
      </c>
      <c r="H28" s="1">
        <v>202.0</v>
      </c>
      <c r="I28" s="1">
        <v>196.0</v>
      </c>
      <c r="J28" s="1">
        <v>300.0</v>
      </c>
      <c r="K28" s="1">
        <v>428.0</v>
      </c>
      <c r="L28" s="1">
        <v>342.0</v>
      </c>
      <c r="M28" s="1">
        <v>199.0</v>
      </c>
      <c r="N28" s="1">
        <v>368.0</v>
      </c>
      <c r="O28" s="1">
        <v>74.0</v>
      </c>
      <c r="P28" s="1">
        <v>430.0</v>
      </c>
      <c r="Q28" s="1">
        <v>211.0</v>
      </c>
      <c r="R28" s="1" t="s">
        <v>100</v>
      </c>
      <c r="S28" s="4">
        <f t="shared" si="1"/>
        <v>11148706.87</v>
      </c>
      <c r="T28" s="5">
        <f t="shared" si="2"/>
        <v>0.01394808153</v>
      </c>
      <c r="U28" s="5">
        <f t="shared" si="3"/>
        <v>0.4863804541</v>
      </c>
      <c r="V28" s="4" t="str">
        <f t="shared" si="4"/>
        <v>A</v>
      </c>
      <c r="W28" s="5">
        <f t="shared" si="5"/>
        <v>273.5833333</v>
      </c>
      <c r="X28" s="5">
        <f t="shared" si="6"/>
        <v>111.4012704</v>
      </c>
      <c r="Y28" s="5">
        <f t="shared" si="7"/>
        <v>0.4071931908</v>
      </c>
      <c r="Z28" s="4" t="str">
        <f t="shared" si="8"/>
        <v>Y</v>
      </c>
      <c r="AA28" s="4" t="str">
        <f t="shared" si="9"/>
        <v>F</v>
      </c>
    </row>
    <row r="29" ht="15.75" customHeight="1">
      <c r="A29" s="1" t="s">
        <v>101</v>
      </c>
      <c r="B29" s="1" t="s">
        <v>102</v>
      </c>
      <c r="C29" s="1">
        <v>4879.87</v>
      </c>
      <c r="D29" s="1">
        <v>2264.0</v>
      </c>
      <c r="E29" s="1">
        <v>45.0</v>
      </c>
      <c r="F29" s="1">
        <v>19.0</v>
      </c>
      <c r="G29" s="1">
        <v>120.0</v>
      </c>
      <c r="H29" s="1">
        <v>16.0</v>
      </c>
      <c r="I29" s="1">
        <v>314.0</v>
      </c>
      <c r="J29" s="1">
        <v>295.0</v>
      </c>
      <c r="K29" s="1">
        <v>88.0</v>
      </c>
      <c r="L29" s="1">
        <v>88.0</v>
      </c>
      <c r="M29" s="1">
        <v>225.0</v>
      </c>
      <c r="N29" s="1">
        <v>269.0</v>
      </c>
      <c r="O29" s="1">
        <v>332.0</v>
      </c>
      <c r="P29" s="1">
        <v>453.0</v>
      </c>
      <c r="Q29" s="1">
        <v>25.0</v>
      </c>
      <c r="R29" s="1" t="s">
        <v>103</v>
      </c>
      <c r="S29" s="4">
        <f t="shared" si="1"/>
        <v>11048025.68</v>
      </c>
      <c r="T29" s="5">
        <f t="shared" si="2"/>
        <v>0.01382211989</v>
      </c>
      <c r="U29" s="5">
        <f t="shared" si="3"/>
        <v>0.4997623897</v>
      </c>
      <c r="V29" s="4" t="str">
        <f t="shared" si="4"/>
        <v>A</v>
      </c>
      <c r="W29" s="5">
        <f t="shared" si="5"/>
        <v>188.6666667</v>
      </c>
      <c r="X29" s="5">
        <f t="shared" si="6"/>
        <v>138.271673</v>
      </c>
      <c r="Y29" s="5">
        <f t="shared" si="7"/>
        <v>0.7328887262</v>
      </c>
      <c r="Z29" s="4" t="str">
        <f t="shared" si="8"/>
        <v>Z</v>
      </c>
      <c r="AA29" s="4" t="str">
        <f t="shared" si="9"/>
        <v>N</v>
      </c>
    </row>
    <row r="30" ht="15.75" customHeight="1">
      <c r="A30" s="1" t="s">
        <v>104</v>
      </c>
      <c r="B30" s="1" t="s">
        <v>105</v>
      </c>
      <c r="C30" s="1">
        <v>3893.77</v>
      </c>
      <c r="D30" s="1">
        <v>2747.0</v>
      </c>
      <c r="E30" s="1">
        <v>377.0</v>
      </c>
      <c r="F30" s="1">
        <v>296.0</v>
      </c>
      <c r="G30" s="1">
        <v>5.0</v>
      </c>
      <c r="H30" s="1">
        <v>169.0</v>
      </c>
      <c r="I30" s="1">
        <v>252.0</v>
      </c>
      <c r="J30" s="1">
        <v>69.0</v>
      </c>
      <c r="K30" s="1">
        <v>183.0</v>
      </c>
      <c r="L30" s="1">
        <v>97.0</v>
      </c>
      <c r="M30" s="1">
        <v>256.0</v>
      </c>
      <c r="N30" s="1">
        <v>421.0</v>
      </c>
      <c r="O30" s="1">
        <v>273.0</v>
      </c>
      <c r="P30" s="1">
        <v>349.0</v>
      </c>
      <c r="Q30" s="1">
        <v>200.0</v>
      </c>
      <c r="R30" s="1" t="s">
        <v>106</v>
      </c>
      <c r="S30" s="4">
        <f t="shared" si="1"/>
        <v>10696186.19</v>
      </c>
      <c r="T30" s="5">
        <f t="shared" si="2"/>
        <v>0.01338193558</v>
      </c>
      <c r="U30" s="5">
        <f t="shared" si="3"/>
        <v>0.5131069019</v>
      </c>
      <c r="V30" s="4" t="str">
        <f t="shared" si="4"/>
        <v>A</v>
      </c>
      <c r="W30" s="5">
        <f t="shared" si="5"/>
        <v>228.9166667</v>
      </c>
      <c r="X30" s="5">
        <f t="shared" si="6"/>
        <v>122.3951649</v>
      </c>
      <c r="Y30" s="5">
        <f t="shared" si="7"/>
        <v>0.53467127</v>
      </c>
      <c r="Z30" s="4" t="str">
        <f t="shared" si="8"/>
        <v>Z</v>
      </c>
      <c r="AA30" s="4" t="str">
        <f t="shared" si="9"/>
        <v>F</v>
      </c>
    </row>
    <row r="31" ht="15.75" customHeight="1">
      <c r="A31" s="1" t="s">
        <v>107</v>
      </c>
      <c r="B31" s="1" t="s">
        <v>108</v>
      </c>
      <c r="C31" s="1">
        <v>2664.57</v>
      </c>
      <c r="D31" s="1">
        <v>4003.0</v>
      </c>
      <c r="E31" s="1">
        <v>109.0</v>
      </c>
      <c r="F31" s="1">
        <v>425.0</v>
      </c>
      <c r="G31" s="1">
        <v>203.0</v>
      </c>
      <c r="H31" s="1">
        <v>487.0</v>
      </c>
      <c r="I31" s="1">
        <v>347.0</v>
      </c>
      <c r="J31" s="1">
        <v>460.0</v>
      </c>
      <c r="K31" s="1">
        <v>476.0</v>
      </c>
      <c r="L31" s="1">
        <v>460.0</v>
      </c>
      <c r="M31" s="1">
        <v>278.0</v>
      </c>
      <c r="N31" s="1">
        <v>207.0</v>
      </c>
      <c r="O31" s="1">
        <v>321.0</v>
      </c>
      <c r="P31" s="1">
        <v>230.0</v>
      </c>
      <c r="Q31" s="1">
        <v>207.0</v>
      </c>
      <c r="R31" s="1" t="s">
        <v>109</v>
      </c>
      <c r="S31" s="4">
        <f t="shared" si="1"/>
        <v>10666273.71</v>
      </c>
      <c r="T31" s="5">
        <f t="shared" si="2"/>
        <v>0.01334451225</v>
      </c>
      <c r="U31" s="5">
        <f t="shared" si="3"/>
        <v>0.525885083</v>
      </c>
      <c r="V31" s="4" t="str">
        <f t="shared" si="4"/>
        <v>A</v>
      </c>
      <c r="W31" s="5">
        <f t="shared" si="5"/>
        <v>333.5833333</v>
      </c>
      <c r="X31" s="5">
        <f t="shared" si="6"/>
        <v>123.0883547</v>
      </c>
      <c r="Y31" s="5">
        <f t="shared" si="7"/>
        <v>0.3689883228</v>
      </c>
      <c r="Z31" s="4" t="str">
        <f t="shared" si="8"/>
        <v>Y</v>
      </c>
      <c r="AA31" s="4" t="str">
        <f t="shared" si="9"/>
        <v>F</v>
      </c>
    </row>
    <row r="32" ht="15.75" customHeight="1">
      <c r="A32" s="1" t="s">
        <v>110</v>
      </c>
      <c r="B32" s="1" t="s">
        <v>111</v>
      </c>
      <c r="C32" s="1">
        <v>3236.25</v>
      </c>
      <c r="D32" s="1">
        <v>3156.0</v>
      </c>
      <c r="E32" s="1">
        <v>30.0</v>
      </c>
      <c r="F32" s="1">
        <v>285.0</v>
      </c>
      <c r="G32" s="1">
        <v>496.0</v>
      </c>
      <c r="H32" s="1">
        <v>268.0</v>
      </c>
      <c r="I32" s="1">
        <v>350.0</v>
      </c>
      <c r="J32" s="1">
        <v>493.0</v>
      </c>
      <c r="K32" s="1">
        <v>299.0</v>
      </c>
      <c r="L32" s="1">
        <v>337.0</v>
      </c>
      <c r="M32" s="1">
        <v>95.0</v>
      </c>
      <c r="N32" s="1">
        <v>71.0</v>
      </c>
      <c r="O32" s="1">
        <v>266.0</v>
      </c>
      <c r="P32" s="1">
        <v>166.0</v>
      </c>
      <c r="Q32" s="1">
        <v>189.0</v>
      </c>
      <c r="R32" s="1" t="s">
        <v>112</v>
      </c>
      <c r="S32" s="4">
        <f t="shared" si="1"/>
        <v>10213605</v>
      </c>
      <c r="T32" s="5">
        <f t="shared" si="2"/>
        <v>0.01277818109</v>
      </c>
      <c r="U32" s="5">
        <f t="shared" si="3"/>
        <v>0.5381500756</v>
      </c>
      <c r="V32" s="4" t="str">
        <f t="shared" si="4"/>
        <v>A</v>
      </c>
      <c r="W32" s="5">
        <f t="shared" si="5"/>
        <v>263</v>
      </c>
      <c r="X32" s="5">
        <f t="shared" si="6"/>
        <v>144.5781219</v>
      </c>
      <c r="Y32" s="5">
        <f t="shared" si="7"/>
        <v>0.5497266993</v>
      </c>
      <c r="Z32" s="4" t="str">
        <f t="shared" si="8"/>
        <v>Z</v>
      </c>
      <c r="AA32" s="4" t="str">
        <f t="shared" si="9"/>
        <v>S</v>
      </c>
    </row>
    <row r="33" ht="15.75" customHeight="1">
      <c r="A33" s="1" t="s">
        <v>113</v>
      </c>
      <c r="B33" s="1" t="s">
        <v>105</v>
      </c>
      <c r="C33" s="1">
        <v>2804.18</v>
      </c>
      <c r="D33" s="1">
        <v>3496.0</v>
      </c>
      <c r="E33" s="1">
        <v>271.0</v>
      </c>
      <c r="F33" s="1">
        <v>448.0</v>
      </c>
      <c r="G33" s="1">
        <v>91.0</v>
      </c>
      <c r="H33" s="1">
        <v>419.0</v>
      </c>
      <c r="I33" s="1">
        <v>110.0</v>
      </c>
      <c r="J33" s="1">
        <v>216.0</v>
      </c>
      <c r="K33" s="1">
        <v>290.0</v>
      </c>
      <c r="L33" s="1">
        <v>421.0</v>
      </c>
      <c r="M33" s="1">
        <v>443.0</v>
      </c>
      <c r="N33" s="1">
        <v>470.0</v>
      </c>
      <c r="O33" s="1">
        <v>299.0</v>
      </c>
      <c r="P33" s="1">
        <v>18.0</v>
      </c>
      <c r="Q33" s="1">
        <v>0.0</v>
      </c>
      <c r="R33" s="1" t="s">
        <v>114</v>
      </c>
      <c r="S33" s="4">
        <f t="shared" si="1"/>
        <v>9803413.28</v>
      </c>
      <c r="T33" s="5">
        <f t="shared" si="2"/>
        <v>0.01226499264</v>
      </c>
      <c r="U33" s="5">
        <f t="shared" si="3"/>
        <v>0.5501737016</v>
      </c>
      <c r="V33" s="4" t="str">
        <f t="shared" si="4"/>
        <v>A</v>
      </c>
      <c r="W33" s="5">
        <f t="shared" si="5"/>
        <v>291.3333333</v>
      </c>
      <c r="X33" s="5">
        <f t="shared" si="6"/>
        <v>149.0124902</v>
      </c>
      <c r="Y33" s="5">
        <f t="shared" si="7"/>
        <v>0.51148452</v>
      </c>
      <c r="Z33" s="4" t="str">
        <f t="shared" si="8"/>
        <v>Z</v>
      </c>
      <c r="AA33" s="4" t="str">
        <f t="shared" si="9"/>
        <v>N</v>
      </c>
    </row>
    <row r="34" ht="15.75" customHeight="1">
      <c r="A34" s="1" t="s">
        <v>115</v>
      </c>
      <c r="B34" s="1" t="s">
        <v>46</v>
      </c>
      <c r="C34" s="1">
        <v>3043.22</v>
      </c>
      <c r="D34" s="1">
        <v>3158.0</v>
      </c>
      <c r="E34" s="1">
        <v>455.0</v>
      </c>
      <c r="F34" s="1">
        <v>53.0</v>
      </c>
      <c r="G34" s="1">
        <v>492.0</v>
      </c>
      <c r="H34" s="1">
        <v>71.0</v>
      </c>
      <c r="I34" s="1">
        <v>198.0</v>
      </c>
      <c r="J34" s="1">
        <v>168.0</v>
      </c>
      <c r="K34" s="1">
        <v>391.0</v>
      </c>
      <c r="L34" s="1">
        <v>247.0</v>
      </c>
      <c r="M34" s="1">
        <v>312.0</v>
      </c>
      <c r="N34" s="1">
        <v>169.0</v>
      </c>
      <c r="O34" s="1">
        <v>353.0</v>
      </c>
      <c r="P34" s="1">
        <v>249.0</v>
      </c>
      <c r="Q34" s="1">
        <v>220.0</v>
      </c>
      <c r="R34" s="1" t="s">
        <v>116</v>
      </c>
      <c r="S34" s="4">
        <f t="shared" si="1"/>
        <v>9610488.76</v>
      </c>
      <c r="T34" s="5">
        <f t="shared" si="2"/>
        <v>0.01202362591</v>
      </c>
      <c r="U34" s="5">
        <f t="shared" si="3"/>
        <v>0.5621662982</v>
      </c>
      <c r="V34" s="4" t="str">
        <f t="shared" si="4"/>
        <v>A</v>
      </c>
      <c r="W34" s="5">
        <f t="shared" si="5"/>
        <v>263.1666667</v>
      </c>
      <c r="X34" s="5">
        <f t="shared" si="6"/>
        <v>135.3057238</v>
      </c>
      <c r="Y34" s="5">
        <f t="shared" si="7"/>
        <v>0.5141446122</v>
      </c>
      <c r="Z34" s="4" t="str">
        <f t="shared" si="8"/>
        <v>Z</v>
      </c>
      <c r="AA34" s="4" t="str">
        <f t="shared" si="9"/>
        <v>F</v>
      </c>
    </row>
    <row r="35" ht="15.75" customHeight="1">
      <c r="A35" s="1" t="s">
        <v>117</v>
      </c>
      <c r="B35" s="1" t="s">
        <v>81</v>
      </c>
      <c r="C35" s="1">
        <v>3210.21</v>
      </c>
      <c r="D35" s="1">
        <v>2986.0</v>
      </c>
      <c r="E35" s="1">
        <v>143.0</v>
      </c>
      <c r="F35" s="1">
        <v>195.0</v>
      </c>
      <c r="G35" s="1">
        <v>166.0</v>
      </c>
      <c r="H35" s="1">
        <v>359.0</v>
      </c>
      <c r="I35" s="1">
        <v>74.0</v>
      </c>
      <c r="J35" s="1">
        <v>123.0</v>
      </c>
      <c r="K35" s="1">
        <v>194.0</v>
      </c>
      <c r="L35" s="1">
        <v>188.0</v>
      </c>
      <c r="M35" s="1">
        <v>414.0</v>
      </c>
      <c r="N35" s="1">
        <v>487.0</v>
      </c>
      <c r="O35" s="1">
        <v>397.0</v>
      </c>
      <c r="P35" s="1">
        <v>246.0</v>
      </c>
      <c r="Q35" s="1">
        <v>219.0</v>
      </c>
      <c r="R35" s="1" t="s">
        <v>118</v>
      </c>
      <c r="S35" s="4">
        <f t="shared" si="1"/>
        <v>9585687.06</v>
      </c>
      <c r="T35" s="5">
        <f t="shared" si="2"/>
        <v>0.01199259665</v>
      </c>
      <c r="U35" s="5">
        <f t="shared" si="3"/>
        <v>0.5741262397</v>
      </c>
      <c r="V35" s="4" t="str">
        <f t="shared" si="4"/>
        <v>A</v>
      </c>
      <c r="W35" s="5">
        <f t="shared" si="5"/>
        <v>248.8333333</v>
      </c>
      <c r="X35" s="5">
        <f t="shared" si="6"/>
        <v>126.5469829</v>
      </c>
      <c r="Y35" s="5">
        <f t="shared" si="7"/>
        <v>0.5085612174</v>
      </c>
      <c r="Z35" s="4" t="str">
        <f t="shared" si="8"/>
        <v>Z</v>
      </c>
      <c r="AA35" s="4" t="str">
        <f t="shared" si="9"/>
        <v>F</v>
      </c>
    </row>
    <row r="36" ht="15.75" customHeight="1">
      <c r="A36" s="1" t="s">
        <v>119</v>
      </c>
      <c r="B36" s="1" t="s">
        <v>120</v>
      </c>
      <c r="C36" s="1">
        <v>2901.24</v>
      </c>
      <c r="D36" s="1">
        <v>3295.0</v>
      </c>
      <c r="E36" s="1">
        <v>337.0</v>
      </c>
      <c r="F36" s="1">
        <v>324.0</v>
      </c>
      <c r="G36" s="1">
        <v>316.0</v>
      </c>
      <c r="H36" s="1">
        <v>22.0</v>
      </c>
      <c r="I36" s="1">
        <v>199.0</v>
      </c>
      <c r="J36" s="1">
        <v>257.0</v>
      </c>
      <c r="K36" s="1">
        <v>65.0</v>
      </c>
      <c r="L36" s="1">
        <v>356.0</v>
      </c>
      <c r="M36" s="1">
        <v>480.0</v>
      </c>
      <c r="N36" s="1">
        <v>446.0</v>
      </c>
      <c r="O36" s="1">
        <v>153.0</v>
      </c>
      <c r="P36" s="1">
        <v>340.0</v>
      </c>
      <c r="Q36" s="1">
        <v>101.0</v>
      </c>
      <c r="R36" s="1" t="s">
        <v>121</v>
      </c>
      <c r="S36" s="4">
        <f t="shared" si="1"/>
        <v>9559585.8</v>
      </c>
      <c r="T36" s="5">
        <f t="shared" si="2"/>
        <v>0.01195994152</v>
      </c>
      <c r="U36" s="5">
        <f t="shared" si="3"/>
        <v>0.5860482488</v>
      </c>
      <c r="V36" s="4" t="str">
        <f t="shared" si="4"/>
        <v>A</v>
      </c>
      <c r="W36" s="5">
        <f t="shared" si="5"/>
        <v>274.5833333</v>
      </c>
      <c r="X36" s="5">
        <f t="shared" si="6"/>
        <v>135.1138152</v>
      </c>
      <c r="Y36" s="5">
        <f t="shared" si="7"/>
        <v>0.4920685227</v>
      </c>
      <c r="Z36" s="4" t="str">
        <f t="shared" si="8"/>
        <v>Y</v>
      </c>
      <c r="AA36" s="4" t="str">
        <f t="shared" si="9"/>
        <v>S</v>
      </c>
    </row>
    <row r="37" ht="15.75" customHeight="1">
      <c r="A37" s="1" t="s">
        <v>122</v>
      </c>
      <c r="B37" s="1" t="s">
        <v>123</v>
      </c>
      <c r="C37" s="1">
        <v>4641.63</v>
      </c>
      <c r="D37" s="1">
        <v>2053.0</v>
      </c>
      <c r="E37" s="1">
        <v>237.0</v>
      </c>
      <c r="F37" s="1">
        <v>130.0</v>
      </c>
      <c r="G37" s="1">
        <v>109.0</v>
      </c>
      <c r="H37" s="1">
        <v>284.0</v>
      </c>
      <c r="I37" s="1">
        <v>365.0</v>
      </c>
      <c r="J37" s="1">
        <v>315.0</v>
      </c>
      <c r="K37" s="1">
        <v>132.0</v>
      </c>
      <c r="L37" s="1">
        <v>22.0</v>
      </c>
      <c r="M37" s="1">
        <v>50.0</v>
      </c>
      <c r="N37" s="1">
        <v>115.0</v>
      </c>
      <c r="O37" s="1">
        <v>81.0</v>
      </c>
      <c r="P37" s="1">
        <v>213.0</v>
      </c>
      <c r="Q37" s="1">
        <v>57.0</v>
      </c>
      <c r="R37" s="1" t="s">
        <v>124</v>
      </c>
      <c r="S37" s="4">
        <f t="shared" si="1"/>
        <v>9529266.39</v>
      </c>
      <c r="T37" s="5">
        <f t="shared" si="2"/>
        <v>0.01192200908</v>
      </c>
      <c r="U37" s="5">
        <f t="shared" si="3"/>
        <v>0.5979036808</v>
      </c>
      <c r="V37" s="4" t="str">
        <f t="shared" si="4"/>
        <v>A</v>
      </c>
      <c r="W37" s="5">
        <f t="shared" si="5"/>
        <v>171.0833333</v>
      </c>
      <c r="X37" s="5">
        <f t="shared" si="6"/>
        <v>105.0336917</v>
      </c>
      <c r="Y37" s="5">
        <f t="shared" si="7"/>
        <v>0.6139329275</v>
      </c>
      <c r="Z37" s="4" t="str">
        <f t="shared" si="8"/>
        <v>Z</v>
      </c>
      <c r="AA37" s="4" t="str">
        <f t="shared" si="9"/>
        <v>N</v>
      </c>
    </row>
    <row r="38" ht="15.75" customHeight="1">
      <c r="A38" s="1" t="s">
        <v>125</v>
      </c>
      <c r="B38" s="1" t="s">
        <v>85</v>
      </c>
      <c r="C38" s="1">
        <v>3300.61</v>
      </c>
      <c r="D38" s="1">
        <v>2871.0</v>
      </c>
      <c r="E38" s="1">
        <v>210.0</v>
      </c>
      <c r="F38" s="1">
        <v>213.0</v>
      </c>
      <c r="G38" s="1">
        <v>362.0</v>
      </c>
      <c r="H38" s="1">
        <v>341.0</v>
      </c>
      <c r="I38" s="1">
        <v>27.0</v>
      </c>
      <c r="J38" s="1">
        <v>151.0</v>
      </c>
      <c r="K38" s="1">
        <v>328.0</v>
      </c>
      <c r="L38" s="1">
        <v>205.0</v>
      </c>
      <c r="M38" s="1">
        <v>429.0</v>
      </c>
      <c r="N38" s="1">
        <v>53.0</v>
      </c>
      <c r="O38" s="1">
        <v>404.0</v>
      </c>
      <c r="P38" s="1">
        <v>148.0</v>
      </c>
      <c r="Q38" s="1">
        <v>168.0</v>
      </c>
      <c r="R38" s="1" t="s">
        <v>126</v>
      </c>
      <c r="S38" s="4">
        <f t="shared" si="1"/>
        <v>9476051.31</v>
      </c>
      <c r="T38" s="5">
        <f t="shared" si="2"/>
        <v>0.01185543201</v>
      </c>
      <c r="U38" s="5">
        <f t="shared" si="3"/>
        <v>0.6095151557</v>
      </c>
      <c r="V38" s="4" t="str">
        <f t="shared" si="4"/>
        <v>A</v>
      </c>
      <c r="W38" s="5">
        <f t="shared" si="5"/>
        <v>239.25</v>
      </c>
      <c r="X38" s="5">
        <f t="shared" si="6"/>
        <v>127.4807992</v>
      </c>
      <c r="Y38" s="5">
        <f t="shared" si="7"/>
        <v>0.5328351064</v>
      </c>
      <c r="Z38" s="4" t="str">
        <f t="shared" si="8"/>
        <v>Z</v>
      </c>
      <c r="AA38" s="4" t="str">
        <f t="shared" si="9"/>
        <v>S</v>
      </c>
    </row>
    <row r="39" ht="15.75" customHeight="1">
      <c r="A39" s="1" t="s">
        <v>127</v>
      </c>
      <c r="B39" s="1" t="s">
        <v>128</v>
      </c>
      <c r="C39" s="1">
        <v>3343.32</v>
      </c>
      <c r="D39" s="1">
        <v>2776.0</v>
      </c>
      <c r="E39" s="1">
        <v>471.0</v>
      </c>
      <c r="F39" s="1">
        <v>35.0</v>
      </c>
      <c r="G39" s="1">
        <v>301.0</v>
      </c>
      <c r="H39" s="1">
        <v>41.0</v>
      </c>
      <c r="I39" s="1">
        <v>294.0</v>
      </c>
      <c r="J39" s="1">
        <v>293.0</v>
      </c>
      <c r="K39" s="1">
        <v>119.0</v>
      </c>
      <c r="L39" s="1">
        <v>168.0</v>
      </c>
      <c r="M39" s="1">
        <v>280.0</v>
      </c>
      <c r="N39" s="1">
        <v>237.0</v>
      </c>
      <c r="O39" s="1">
        <v>455.0</v>
      </c>
      <c r="P39" s="1">
        <v>82.0</v>
      </c>
      <c r="Q39" s="1">
        <v>140.0</v>
      </c>
      <c r="R39" s="1" t="s">
        <v>129</v>
      </c>
      <c r="S39" s="4">
        <f t="shared" si="1"/>
        <v>9281056.32</v>
      </c>
      <c r="T39" s="5">
        <f t="shared" si="2"/>
        <v>0.01161147493</v>
      </c>
      <c r="U39" s="5">
        <f t="shared" si="3"/>
        <v>0.6210616806</v>
      </c>
      <c r="V39" s="4" t="str">
        <f t="shared" si="4"/>
        <v>A</v>
      </c>
      <c r="W39" s="5">
        <f t="shared" si="5"/>
        <v>231.3333333</v>
      </c>
      <c r="X39" s="5">
        <f t="shared" si="6"/>
        <v>140.2838393</v>
      </c>
      <c r="Y39" s="5">
        <f t="shared" si="7"/>
        <v>0.6064142907</v>
      </c>
      <c r="Z39" s="4" t="str">
        <f t="shared" si="8"/>
        <v>Z</v>
      </c>
      <c r="AA39" s="4" t="str">
        <f t="shared" si="9"/>
        <v>S</v>
      </c>
    </row>
    <row r="40" ht="15.75" customHeight="1">
      <c r="A40" s="1" t="s">
        <v>130</v>
      </c>
      <c r="B40" s="1" t="s">
        <v>131</v>
      </c>
      <c r="C40" s="1">
        <v>3192.37</v>
      </c>
      <c r="D40" s="1">
        <v>2891.0</v>
      </c>
      <c r="E40" s="1">
        <v>82.0</v>
      </c>
      <c r="F40" s="1">
        <v>174.0</v>
      </c>
      <c r="G40" s="1">
        <v>165.0</v>
      </c>
      <c r="H40" s="1">
        <v>326.0</v>
      </c>
      <c r="I40" s="1">
        <v>412.0</v>
      </c>
      <c r="J40" s="1">
        <v>149.0</v>
      </c>
      <c r="K40" s="1">
        <v>382.0</v>
      </c>
      <c r="L40" s="1">
        <v>479.0</v>
      </c>
      <c r="M40" s="1">
        <v>1.0</v>
      </c>
      <c r="N40" s="1">
        <v>179.0</v>
      </c>
      <c r="O40" s="1">
        <v>68.0</v>
      </c>
      <c r="P40" s="1">
        <v>474.0</v>
      </c>
      <c r="Q40" s="1">
        <v>79.0</v>
      </c>
      <c r="R40" s="1" t="s">
        <v>132</v>
      </c>
      <c r="S40" s="4">
        <f t="shared" si="1"/>
        <v>9229141.67</v>
      </c>
      <c r="T40" s="5">
        <f t="shared" si="2"/>
        <v>0.01154652481</v>
      </c>
      <c r="U40" s="5">
        <f t="shared" si="3"/>
        <v>0.6325583758</v>
      </c>
      <c r="V40" s="4" t="str">
        <f t="shared" si="4"/>
        <v>A</v>
      </c>
      <c r="W40" s="5">
        <f t="shared" si="5"/>
        <v>240.9166667</v>
      </c>
      <c r="X40" s="5">
        <f t="shared" si="6"/>
        <v>158.8140728</v>
      </c>
      <c r="Y40" s="5">
        <f t="shared" si="7"/>
        <v>0.659207497</v>
      </c>
      <c r="Z40" s="4" t="str">
        <f t="shared" si="8"/>
        <v>Z</v>
      </c>
      <c r="AA40" s="4" t="str">
        <f t="shared" si="9"/>
        <v>S</v>
      </c>
    </row>
    <row r="41" ht="15.75" customHeight="1">
      <c r="A41" s="1" t="s">
        <v>133</v>
      </c>
      <c r="B41" s="1" t="s">
        <v>105</v>
      </c>
      <c r="C41" s="1">
        <v>3400.93</v>
      </c>
      <c r="D41" s="1">
        <v>2702.0</v>
      </c>
      <c r="E41" s="1">
        <v>398.0</v>
      </c>
      <c r="F41" s="1">
        <v>131.0</v>
      </c>
      <c r="G41" s="1">
        <v>258.0</v>
      </c>
      <c r="H41" s="1">
        <v>402.0</v>
      </c>
      <c r="I41" s="1">
        <v>96.0</v>
      </c>
      <c r="J41" s="1">
        <v>155.0</v>
      </c>
      <c r="K41" s="1">
        <v>231.0</v>
      </c>
      <c r="L41" s="1">
        <v>451.0</v>
      </c>
      <c r="M41" s="1">
        <v>138.0</v>
      </c>
      <c r="N41" s="1">
        <v>9.0</v>
      </c>
      <c r="O41" s="1">
        <v>422.0</v>
      </c>
      <c r="P41" s="1">
        <v>11.0</v>
      </c>
      <c r="Q41" s="1">
        <v>87.0</v>
      </c>
      <c r="R41" s="1" t="s">
        <v>134</v>
      </c>
      <c r="S41" s="4">
        <f t="shared" si="1"/>
        <v>9189312.86</v>
      </c>
      <c r="T41" s="5">
        <f t="shared" si="2"/>
        <v>0.01149669522</v>
      </c>
      <c r="U41" s="5">
        <f t="shared" si="3"/>
        <v>0.6436235863</v>
      </c>
      <c r="V41" s="4" t="str">
        <f t="shared" si="4"/>
        <v>A</v>
      </c>
      <c r="W41" s="5">
        <f t="shared" si="5"/>
        <v>225.1666667</v>
      </c>
      <c r="X41" s="5">
        <f t="shared" si="6"/>
        <v>153.477921</v>
      </c>
      <c r="Y41" s="5">
        <f t="shared" si="7"/>
        <v>0.6816191901</v>
      </c>
      <c r="Z41" s="4" t="str">
        <f t="shared" si="8"/>
        <v>Z</v>
      </c>
      <c r="AA41" s="4" t="str">
        <f t="shared" si="9"/>
        <v>S</v>
      </c>
    </row>
    <row r="42" ht="15.75" customHeight="1">
      <c r="A42" s="1" t="s">
        <v>135</v>
      </c>
      <c r="B42" s="1" t="s">
        <v>55</v>
      </c>
      <c r="C42" s="1">
        <v>2629.14</v>
      </c>
      <c r="D42" s="1">
        <v>3364.0</v>
      </c>
      <c r="E42" s="1">
        <v>241.0</v>
      </c>
      <c r="F42" s="1">
        <v>21.0</v>
      </c>
      <c r="G42" s="1">
        <v>433.0</v>
      </c>
      <c r="H42" s="1">
        <v>105.0</v>
      </c>
      <c r="I42" s="1">
        <v>145.0</v>
      </c>
      <c r="J42" s="1">
        <v>174.0</v>
      </c>
      <c r="K42" s="1">
        <v>499.0</v>
      </c>
      <c r="L42" s="1">
        <v>479.0</v>
      </c>
      <c r="M42" s="1">
        <v>478.0</v>
      </c>
      <c r="N42" s="1">
        <v>344.0</v>
      </c>
      <c r="O42" s="1">
        <v>300.0</v>
      </c>
      <c r="P42" s="1">
        <v>145.0</v>
      </c>
      <c r="Q42" s="1">
        <v>71.0</v>
      </c>
      <c r="R42" s="1" t="s">
        <v>136</v>
      </c>
      <c r="S42" s="4">
        <f t="shared" si="1"/>
        <v>8844426.96</v>
      </c>
      <c r="T42" s="5">
        <f t="shared" si="2"/>
        <v>0.0110652105</v>
      </c>
      <c r="U42" s="5">
        <f t="shared" si="3"/>
        <v>0.6543479154</v>
      </c>
      <c r="V42" s="4" t="str">
        <f t="shared" si="4"/>
        <v>A</v>
      </c>
      <c r="W42" s="5">
        <f t="shared" si="5"/>
        <v>280.3333333</v>
      </c>
      <c r="X42" s="5">
        <f t="shared" si="6"/>
        <v>158.5304037</v>
      </c>
      <c r="Y42" s="5">
        <f t="shared" si="7"/>
        <v>0.5655067907</v>
      </c>
      <c r="Z42" s="4" t="str">
        <f t="shared" si="8"/>
        <v>Z</v>
      </c>
      <c r="AA42" s="4" t="str">
        <f t="shared" si="9"/>
        <v>S</v>
      </c>
    </row>
    <row r="43" ht="15.75" customHeight="1">
      <c r="A43" s="1" t="s">
        <v>137</v>
      </c>
      <c r="B43" s="1" t="s">
        <v>40</v>
      </c>
      <c r="C43" s="1">
        <v>2371.22</v>
      </c>
      <c r="D43" s="1">
        <v>3615.0</v>
      </c>
      <c r="E43" s="1">
        <v>90.0</v>
      </c>
      <c r="F43" s="1">
        <v>228.0</v>
      </c>
      <c r="G43" s="1">
        <v>489.0</v>
      </c>
      <c r="H43" s="1">
        <v>449.0</v>
      </c>
      <c r="I43" s="1">
        <v>368.0</v>
      </c>
      <c r="J43" s="1">
        <v>37.0</v>
      </c>
      <c r="K43" s="1">
        <v>258.0</v>
      </c>
      <c r="L43" s="1">
        <v>170.0</v>
      </c>
      <c r="M43" s="1">
        <v>197.0</v>
      </c>
      <c r="N43" s="1">
        <v>404.0</v>
      </c>
      <c r="O43" s="1">
        <v>438.0</v>
      </c>
      <c r="P43" s="1">
        <v>487.0</v>
      </c>
      <c r="Q43" s="1">
        <v>200.0</v>
      </c>
      <c r="R43" s="1" t="s">
        <v>138</v>
      </c>
      <c r="S43" s="4">
        <f t="shared" si="1"/>
        <v>8571960.3</v>
      </c>
      <c r="T43" s="5">
        <f t="shared" si="2"/>
        <v>0.01072432907</v>
      </c>
      <c r="U43" s="5">
        <f t="shared" si="3"/>
        <v>0.6650650348</v>
      </c>
      <c r="V43" s="4" t="str">
        <f t="shared" si="4"/>
        <v>A</v>
      </c>
      <c r="W43" s="5">
        <f t="shared" si="5"/>
        <v>301.25</v>
      </c>
      <c r="X43" s="5">
        <f t="shared" si="6"/>
        <v>151.4051546</v>
      </c>
      <c r="Y43" s="5">
        <f t="shared" si="7"/>
        <v>0.5025897247</v>
      </c>
      <c r="Z43" s="4" t="str">
        <f t="shared" si="8"/>
        <v>Z</v>
      </c>
      <c r="AA43" s="4" t="str">
        <f t="shared" si="9"/>
        <v>F</v>
      </c>
    </row>
    <row r="44" ht="15.75" customHeight="1">
      <c r="A44" s="1" t="s">
        <v>139</v>
      </c>
      <c r="B44" s="1" t="s">
        <v>52</v>
      </c>
      <c r="C44" s="1">
        <v>2739.43</v>
      </c>
      <c r="D44" s="1">
        <v>3127.0</v>
      </c>
      <c r="E44" s="1">
        <v>190.0</v>
      </c>
      <c r="F44" s="1">
        <v>57.0</v>
      </c>
      <c r="G44" s="1">
        <v>427.0</v>
      </c>
      <c r="H44" s="1">
        <v>309.0</v>
      </c>
      <c r="I44" s="1">
        <v>54.0</v>
      </c>
      <c r="J44" s="1">
        <v>71.0</v>
      </c>
      <c r="K44" s="1">
        <v>371.0</v>
      </c>
      <c r="L44" s="1">
        <v>382.0</v>
      </c>
      <c r="M44" s="1">
        <v>461.0</v>
      </c>
      <c r="N44" s="1">
        <v>473.0</v>
      </c>
      <c r="O44" s="1">
        <v>250.0</v>
      </c>
      <c r="P44" s="1">
        <v>82.0</v>
      </c>
      <c r="Q44" s="1">
        <v>190.0</v>
      </c>
      <c r="R44" s="1" t="s">
        <v>140</v>
      </c>
      <c r="S44" s="4">
        <f t="shared" si="1"/>
        <v>8566197.61</v>
      </c>
      <c r="T44" s="5">
        <f t="shared" si="2"/>
        <v>0.0107171194</v>
      </c>
      <c r="U44" s="5">
        <f t="shared" si="3"/>
        <v>0.6757061134</v>
      </c>
      <c r="V44" s="4" t="str">
        <f t="shared" si="4"/>
        <v>A</v>
      </c>
      <c r="W44" s="5">
        <f t="shared" si="5"/>
        <v>260.5833333</v>
      </c>
      <c r="X44" s="5">
        <f t="shared" si="6"/>
        <v>157.9321892</v>
      </c>
      <c r="Y44" s="5">
        <f t="shared" si="7"/>
        <v>0.6060717207</v>
      </c>
      <c r="Z44" s="4" t="str">
        <f t="shared" si="8"/>
        <v>Z</v>
      </c>
      <c r="AA44" s="4" t="str">
        <f t="shared" si="9"/>
        <v>S</v>
      </c>
    </row>
    <row r="45" ht="15.75" customHeight="1">
      <c r="A45" s="1" t="s">
        <v>141</v>
      </c>
      <c r="B45" s="1" t="s">
        <v>63</v>
      </c>
      <c r="C45" s="1">
        <v>2089.27</v>
      </c>
      <c r="D45" s="1">
        <v>4071.0</v>
      </c>
      <c r="E45" s="1">
        <v>156.0</v>
      </c>
      <c r="F45" s="1">
        <v>112.0</v>
      </c>
      <c r="G45" s="1">
        <v>424.0</v>
      </c>
      <c r="H45" s="1">
        <v>266.0</v>
      </c>
      <c r="I45" s="1">
        <v>499.0</v>
      </c>
      <c r="J45" s="1">
        <v>412.0</v>
      </c>
      <c r="K45" s="1">
        <v>186.0</v>
      </c>
      <c r="L45" s="1">
        <v>379.0</v>
      </c>
      <c r="M45" s="1">
        <v>460.0</v>
      </c>
      <c r="N45" s="1">
        <v>372.0</v>
      </c>
      <c r="O45" s="1">
        <v>404.0</v>
      </c>
      <c r="P45" s="1">
        <v>401.0</v>
      </c>
      <c r="Q45" s="1">
        <v>217.0</v>
      </c>
      <c r="R45" s="1" t="s">
        <v>142</v>
      </c>
      <c r="S45" s="4">
        <f t="shared" si="1"/>
        <v>8505418.17</v>
      </c>
      <c r="T45" s="5">
        <f t="shared" si="2"/>
        <v>0.0106410786</v>
      </c>
      <c r="U45" s="5">
        <f t="shared" si="3"/>
        <v>0.686331801</v>
      </c>
      <c r="V45" s="4" t="str">
        <f t="shared" si="4"/>
        <v>A</v>
      </c>
      <c r="W45" s="5">
        <f t="shared" si="5"/>
        <v>339.25</v>
      </c>
      <c r="X45" s="5">
        <f t="shared" si="6"/>
        <v>121.5552858</v>
      </c>
      <c r="Y45" s="5">
        <f t="shared" si="7"/>
        <v>0.3583059271</v>
      </c>
      <c r="Z45" s="4" t="str">
        <f t="shared" si="8"/>
        <v>Y</v>
      </c>
      <c r="AA45" s="4" t="str">
        <f t="shared" si="9"/>
        <v>F</v>
      </c>
    </row>
    <row r="46" ht="15.75" customHeight="1">
      <c r="A46" s="1" t="s">
        <v>143</v>
      </c>
      <c r="B46" s="1" t="s">
        <v>60</v>
      </c>
      <c r="C46" s="1">
        <v>2675.84</v>
      </c>
      <c r="D46" s="1">
        <v>3174.0</v>
      </c>
      <c r="E46" s="1">
        <v>469.0</v>
      </c>
      <c r="F46" s="1">
        <v>256.0</v>
      </c>
      <c r="G46" s="1">
        <v>152.0</v>
      </c>
      <c r="H46" s="1">
        <v>231.0</v>
      </c>
      <c r="I46" s="1">
        <v>202.0</v>
      </c>
      <c r="J46" s="1">
        <v>139.0</v>
      </c>
      <c r="K46" s="1">
        <v>283.0</v>
      </c>
      <c r="L46" s="1">
        <v>477.0</v>
      </c>
      <c r="M46" s="1">
        <v>112.0</v>
      </c>
      <c r="N46" s="1">
        <v>349.0</v>
      </c>
      <c r="O46" s="1">
        <v>500.0</v>
      </c>
      <c r="P46" s="1">
        <v>4.0</v>
      </c>
      <c r="Q46" s="1">
        <v>120.0</v>
      </c>
      <c r="R46" s="1" t="s">
        <v>144</v>
      </c>
      <c r="S46" s="4">
        <f t="shared" si="1"/>
        <v>8493116.16</v>
      </c>
      <c r="T46" s="5">
        <f t="shared" si="2"/>
        <v>0.01062568763</v>
      </c>
      <c r="U46" s="5">
        <f t="shared" si="3"/>
        <v>0.6967647755</v>
      </c>
      <c r="V46" s="4" t="str">
        <f t="shared" si="4"/>
        <v>A</v>
      </c>
      <c r="W46" s="5">
        <f t="shared" si="5"/>
        <v>264.5</v>
      </c>
      <c r="X46" s="5">
        <f t="shared" si="6"/>
        <v>151.2566803</v>
      </c>
      <c r="Y46" s="5">
        <f t="shared" si="7"/>
        <v>0.5718589047</v>
      </c>
      <c r="Z46" s="4" t="str">
        <f t="shared" si="8"/>
        <v>Z</v>
      </c>
      <c r="AA46" s="4" t="str">
        <f t="shared" si="9"/>
        <v>S</v>
      </c>
    </row>
    <row r="47" ht="15.75" customHeight="1">
      <c r="A47" s="1" t="s">
        <v>145</v>
      </c>
      <c r="B47" s="1" t="s">
        <v>40</v>
      </c>
      <c r="C47" s="1">
        <v>3834.06</v>
      </c>
      <c r="D47" s="1">
        <v>2175.0</v>
      </c>
      <c r="E47" s="1">
        <v>182.0</v>
      </c>
      <c r="F47" s="1">
        <v>143.0</v>
      </c>
      <c r="G47" s="1">
        <v>63.0</v>
      </c>
      <c r="H47" s="1">
        <v>117.0</v>
      </c>
      <c r="I47" s="1">
        <v>207.0</v>
      </c>
      <c r="J47" s="1">
        <v>30.0</v>
      </c>
      <c r="K47" s="1">
        <v>135.0</v>
      </c>
      <c r="L47" s="1">
        <v>168.0</v>
      </c>
      <c r="M47" s="1">
        <v>448.0</v>
      </c>
      <c r="N47" s="1">
        <v>244.0</v>
      </c>
      <c r="O47" s="1">
        <v>336.0</v>
      </c>
      <c r="P47" s="1">
        <v>102.0</v>
      </c>
      <c r="Q47" s="1">
        <v>169.0</v>
      </c>
      <c r="R47" s="1" t="s">
        <v>146</v>
      </c>
      <c r="S47" s="4">
        <f t="shared" si="1"/>
        <v>8339080.5</v>
      </c>
      <c r="T47" s="5">
        <f t="shared" si="2"/>
        <v>0.01043297452</v>
      </c>
      <c r="U47" s="5">
        <f t="shared" si="3"/>
        <v>0.7070114252</v>
      </c>
      <c r="V47" s="4" t="str">
        <f t="shared" si="4"/>
        <v>A</v>
      </c>
      <c r="W47" s="5">
        <f t="shared" si="5"/>
        <v>181.25</v>
      </c>
      <c r="X47" s="5">
        <f t="shared" si="6"/>
        <v>112.0826518</v>
      </c>
      <c r="Y47" s="5">
        <f t="shared" si="7"/>
        <v>0.6183870444</v>
      </c>
      <c r="Z47" s="4" t="str">
        <f t="shared" si="8"/>
        <v>Z</v>
      </c>
      <c r="AA47" s="4" t="str">
        <f t="shared" si="9"/>
        <v>S</v>
      </c>
    </row>
    <row r="48" ht="15.75" customHeight="1">
      <c r="A48" s="1" t="s">
        <v>147</v>
      </c>
      <c r="B48" s="1" t="s">
        <v>63</v>
      </c>
      <c r="C48" s="1">
        <v>2824.19</v>
      </c>
      <c r="D48" s="1">
        <v>2900.0</v>
      </c>
      <c r="E48" s="1">
        <v>478.0</v>
      </c>
      <c r="F48" s="1">
        <v>351.0</v>
      </c>
      <c r="G48" s="1">
        <v>70.0</v>
      </c>
      <c r="H48" s="1">
        <v>27.0</v>
      </c>
      <c r="I48" s="1">
        <v>434.0</v>
      </c>
      <c r="J48" s="1">
        <v>113.0</v>
      </c>
      <c r="K48" s="1">
        <v>317.0</v>
      </c>
      <c r="L48" s="1">
        <v>24.0</v>
      </c>
      <c r="M48" s="1">
        <v>22.0</v>
      </c>
      <c r="N48" s="1">
        <v>317.0</v>
      </c>
      <c r="O48" s="1">
        <v>414.0</v>
      </c>
      <c r="P48" s="1">
        <v>333.0</v>
      </c>
      <c r="Q48" s="1">
        <v>89.0</v>
      </c>
      <c r="R48" s="1" t="s">
        <v>148</v>
      </c>
      <c r="S48" s="4">
        <f t="shared" si="1"/>
        <v>8190151</v>
      </c>
      <c r="T48" s="5">
        <f t="shared" si="2"/>
        <v>0.0102466497</v>
      </c>
      <c r="U48" s="5">
        <f t="shared" si="3"/>
        <v>0.7169469781</v>
      </c>
      <c r="V48" s="4" t="str">
        <f t="shared" si="4"/>
        <v>A</v>
      </c>
      <c r="W48" s="5">
        <f t="shared" si="5"/>
        <v>241.6666667</v>
      </c>
      <c r="X48" s="5">
        <f t="shared" si="6"/>
        <v>168.8018233</v>
      </c>
      <c r="Y48" s="5">
        <f t="shared" si="7"/>
        <v>0.6984903034</v>
      </c>
      <c r="Z48" s="4" t="str">
        <f t="shared" si="8"/>
        <v>Z</v>
      </c>
      <c r="AA48" s="4" t="str">
        <f t="shared" si="9"/>
        <v>S</v>
      </c>
    </row>
    <row r="49" ht="15.75" customHeight="1">
      <c r="A49" s="1" t="s">
        <v>149</v>
      </c>
      <c r="B49" s="1" t="s">
        <v>31</v>
      </c>
      <c r="C49" s="1">
        <v>3688.57</v>
      </c>
      <c r="D49" s="1">
        <v>2153.0</v>
      </c>
      <c r="E49" s="1">
        <v>167.0</v>
      </c>
      <c r="F49" s="1">
        <v>148.0</v>
      </c>
      <c r="G49" s="1">
        <v>73.0</v>
      </c>
      <c r="H49" s="1">
        <v>288.0</v>
      </c>
      <c r="I49" s="1">
        <v>17.0</v>
      </c>
      <c r="J49" s="1">
        <v>112.0</v>
      </c>
      <c r="K49" s="1">
        <v>37.0</v>
      </c>
      <c r="L49" s="1">
        <v>468.0</v>
      </c>
      <c r="M49" s="1">
        <v>201.0</v>
      </c>
      <c r="N49" s="1">
        <v>457.0</v>
      </c>
      <c r="O49" s="1">
        <v>146.0</v>
      </c>
      <c r="P49" s="1">
        <v>39.0</v>
      </c>
      <c r="Q49" s="1">
        <v>47.0</v>
      </c>
      <c r="R49" s="1" t="s">
        <v>150</v>
      </c>
      <c r="S49" s="4">
        <f t="shared" si="1"/>
        <v>7941491.21</v>
      </c>
      <c r="T49" s="5">
        <f t="shared" si="2"/>
        <v>0.009935552903</v>
      </c>
      <c r="U49" s="5">
        <f t="shared" si="3"/>
        <v>0.7268505225</v>
      </c>
      <c r="V49" s="4" t="str">
        <f t="shared" si="4"/>
        <v>A</v>
      </c>
      <c r="W49" s="5">
        <f t="shared" si="5"/>
        <v>179.4166667</v>
      </c>
      <c r="X49" s="5">
        <f t="shared" si="6"/>
        <v>146.3713646</v>
      </c>
      <c r="Y49" s="5">
        <f t="shared" si="7"/>
        <v>0.815818103</v>
      </c>
      <c r="Z49" s="4" t="str">
        <f t="shared" si="8"/>
        <v>Z</v>
      </c>
      <c r="AA49" s="4" t="str">
        <f t="shared" si="9"/>
        <v>N</v>
      </c>
    </row>
    <row r="50" ht="15.75" customHeight="1">
      <c r="A50" s="1" t="s">
        <v>151</v>
      </c>
      <c r="B50" s="1" t="s">
        <v>52</v>
      </c>
      <c r="C50" s="1">
        <v>2180.09</v>
      </c>
      <c r="D50" s="1">
        <v>3631.0</v>
      </c>
      <c r="E50" s="1">
        <v>103.0</v>
      </c>
      <c r="F50" s="1">
        <v>476.0</v>
      </c>
      <c r="G50" s="1">
        <v>468.0</v>
      </c>
      <c r="H50" s="1">
        <v>441.0</v>
      </c>
      <c r="I50" s="1">
        <v>381.0</v>
      </c>
      <c r="J50" s="1">
        <v>152.0</v>
      </c>
      <c r="K50" s="1">
        <v>452.0</v>
      </c>
      <c r="L50" s="1">
        <v>143.0</v>
      </c>
      <c r="M50" s="1">
        <v>224.0</v>
      </c>
      <c r="N50" s="1">
        <v>26.0</v>
      </c>
      <c r="O50" s="1">
        <v>436.0</v>
      </c>
      <c r="P50" s="1">
        <v>329.0</v>
      </c>
      <c r="Q50" s="1">
        <v>146.0</v>
      </c>
      <c r="R50" s="1" t="s">
        <v>152</v>
      </c>
      <c r="S50" s="4">
        <f t="shared" si="1"/>
        <v>7915906.79</v>
      </c>
      <c r="T50" s="5">
        <f t="shared" si="2"/>
        <v>0.009903544385</v>
      </c>
      <c r="U50" s="5">
        <f t="shared" si="3"/>
        <v>0.7365848777</v>
      </c>
      <c r="V50" s="4" t="str">
        <f t="shared" si="4"/>
        <v>A</v>
      </c>
      <c r="W50" s="5">
        <f t="shared" si="5"/>
        <v>302.5833333</v>
      </c>
      <c r="X50" s="5">
        <f t="shared" si="6"/>
        <v>156.5824907</v>
      </c>
      <c r="Y50" s="5">
        <f t="shared" si="7"/>
        <v>0.5174855104</v>
      </c>
      <c r="Z50" s="4" t="str">
        <f t="shared" si="8"/>
        <v>Z</v>
      </c>
      <c r="AA50" s="4" t="str">
        <f t="shared" si="9"/>
        <v>S</v>
      </c>
    </row>
    <row r="51" ht="15.75" customHeight="1">
      <c r="A51" s="1" t="s">
        <v>153</v>
      </c>
      <c r="B51" s="1" t="s">
        <v>60</v>
      </c>
      <c r="C51" s="1">
        <v>2377.23</v>
      </c>
      <c r="D51" s="1">
        <v>3273.0</v>
      </c>
      <c r="E51" s="1">
        <v>312.0</v>
      </c>
      <c r="F51" s="1">
        <v>128.0</v>
      </c>
      <c r="G51" s="1">
        <v>297.0</v>
      </c>
      <c r="H51" s="1">
        <v>101.0</v>
      </c>
      <c r="I51" s="1">
        <v>343.0</v>
      </c>
      <c r="J51" s="1">
        <v>384.0</v>
      </c>
      <c r="K51" s="1">
        <v>231.0</v>
      </c>
      <c r="L51" s="1">
        <v>246.0</v>
      </c>
      <c r="M51" s="1">
        <v>202.0</v>
      </c>
      <c r="N51" s="1">
        <v>188.0</v>
      </c>
      <c r="O51" s="1">
        <v>345.0</v>
      </c>
      <c r="P51" s="1">
        <v>496.0</v>
      </c>
      <c r="Q51" s="1">
        <v>216.0</v>
      </c>
      <c r="R51" s="1" t="s">
        <v>154</v>
      </c>
      <c r="S51" s="4">
        <f t="shared" si="1"/>
        <v>7780673.79</v>
      </c>
      <c r="T51" s="5">
        <f t="shared" si="2"/>
        <v>0.009734355175</v>
      </c>
      <c r="U51" s="5">
        <f t="shared" si="3"/>
        <v>0.7462569338</v>
      </c>
      <c r="V51" s="4" t="str">
        <f t="shared" si="4"/>
        <v>A</v>
      </c>
      <c r="W51" s="5">
        <f t="shared" si="5"/>
        <v>272.75</v>
      </c>
      <c r="X51" s="5">
        <f t="shared" si="6"/>
        <v>107.8572552</v>
      </c>
      <c r="Y51" s="5">
        <f t="shared" si="7"/>
        <v>0.3954436488</v>
      </c>
      <c r="Z51" s="4" t="str">
        <f t="shared" si="8"/>
        <v>Y</v>
      </c>
      <c r="AA51" s="4" t="str">
        <f t="shared" si="9"/>
        <v>F</v>
      </c>
    </row>
    <row r="52" ht="15.75" customHeight="1">
      <c r="A52" s="1" t="s">
        <v>155</v>
      </c>
      <c r="B52" s="1" t="s">
        <v>40</v>
      </c>
      <c r="C52" s="1">
        <v>2478.64</v>
      </c>
      <c r="D52" s="1">
        <v>3119.0</v>
      </c>
      <c r="E52" s="1">
        <v>249.0</v>
      </c>
      <c r="F52" s="1">
        <v>350.0</v>
      </c>
      <c r="G52" s="1">
        <v>70.0</v>
      </c>
      <c r="H52" s="1">
        <v>121.0</v>
      </c>
      <c r="I52" s="1">
        <v>155.0</v>
      </c>
      <c r="J52" s="1">
        <v>492.0</v>
      </c>
      <c r="K52" s="1">
        <v>307.0</v>
      </c>
      <c r="L52" s="1">
        <v>439.0</v>
      </c>
      <c r="M52" s="1">
        <v>317.0</v>
      </c>
      <c r="N52" s="1">
        <v>416.0</v>
      </c>
      <c r="O52" s="1">
        <v>87.0</v>
      </c>
      <c r="P52" s="1">
        <v>116.0</v>
      </c>
      <c r="Q52" s="1">
        <v>184.0</v>
      </c>
      <c r="R52" s="1" t="s">
        <v>156</v>
      </c>
      <c r="S52" s="4">
        <f t="shared" si="1"/>
        <v>7730878.16</v>
      </c>
      <c r="T52" s="5">
        <f t="shared" si="2"/>
        <v>0.009672056156</v>
      </c>
      <c r="U52" s="5">
        <f t="shared" si="3"/>
        <v>0.7559165086</v>
      </c>
      <c r="V52" s="4" t="str">
        <f t="shared" si="4"/>
        <v>A</v>
      </c>
      <c r="W52" s="5">
        <f t="shared" si="5"/>
        <v>259.9166667</v>
      </c>
      <c r="X52" s="5">
        <f t="shared" si="6"/>
        <v>141.7130071</v>
      </c>
      <c r="Y52" s="5">
        <f t="shared" si="7"/>
        <v>0.5452247789</v>
      </c>
      <c r="Z52" s="4" t="str">
        <f t="shared" si="8"/>
        <v>Z</v>
      </c>
      <c r="AA52" s="4" t="str">
        <f t="shared" si="9"/>
        <v>S</v>
      </c>
    </row>
    <row r="53" ht="15.75" customHeight="1">
      <c r="A53" s="1" t="s">
        <v>157</v>
      </c>
      <c r="B53" s="1" t="s">
        <v>158</v>
      </c>
      <c r="C53" s="1">
        <v>2636.92</v>
      </c>
      <c r="D53" s="1">
        <v>2928.0</v>
      </c>
      <c r="E53" s="1">
        <v>118.0</v>
      </c>
      <c r="F53" s="1">
        <v>112.0</v>
      </c>
      <c r="G53" s="1">
        <v>48.0</v>
      </c>
      <c r="H53" s="1">
        <v>259.0</v>
      </c>
      <c r="I53" s="1">
        <v>499.0</v>
      </c>
      <c r="J53" s="1">
        <v>60.0</v>
      </c>
      <c r="K53" s="1">
        <v>285.0</v>
      </c>
      <c r="L53" s="1">
        <v>325.0</v>
      </c>
      <c r="M53" s="1">
        <v>94.0</v>
      </c>
      <c r="N53" s="1">
        <v>408.0</v>
      </c>
      <c r="O53" s="1">
        <v>437.0</v>
      </c>
      <c r="P53" s="1">
        <v>283.0</v>
      </c>
      <c r="Q53" s="1">
        <v>132.0</v>
      </c>
      <c r="R53" s="1" t="s">
        <v>159</v>
      </c>
      <c r="S53" s="4">
        <f t="shared" si="1"/>
        <v>7720901.76</v>
      </c>
      <c r="T53" s="5">
        <f t="shared" si="2"/>
        <v>0.00965957474</v>
      </c>
      <c r="U53" s="5">
        <f t="shared" si="3"/>
        <v>0.7655193724</v>
      </c>
      <c r="V53" s="4" t="str">
        <f t="shared" si="4"/>
        <v>A</v>
      </c>
      <c r="W53" s="5">
        <f t="shared" si="5"/>
        <v>244</v>
      </c>
      <c r="X53" s="5">
        <f t="shared" si="6"/>
        <v>149.2285719</v>
      </c>
      <c r="Y53" s="5">
        <f t="shared" si="7"/>
        <v>0.6115925077</v>
      </c>
      <c r="Z53" s="4" t="str">
        <f t="shared" si="8"/>
        <v>Z</v>
      </c>
      <c r="AA53" s="4" t="str">
        <f t="shared" si="9"/>
        <v>S</v>
      </c>
    </row>
    <row r="54" ht="15.75" customHeight="1">
      <c r="A54" s="1" t="s">
        <v>160</v>
      </c>
      <c r="B54" s="1" t="s">
        <v>158</v>
      </c>
      <c r="C54" s="1">
        <v>2776.98</v>
      </c>
      <c r="D54" s="1">
        <v>2764.0</v>
      </c>
      <c r="E54" s="1">
        <v>371.0</v>
      </c>
      <c r="F54" s="1">
        <v>31.0</v>
      </c>
      <c r="G54" s="1">
        <v>27.0</v>
      </c>
      <c r="H54" s="1">
        <v>115.0</v>
      </c>
      <c r="I54" s="1">
        <v>399.0</v>
      </c>
      <c r="J54" s="1">
        <v>57.0</v>
      </c>
      <c r="K54" s="1">
        <v>400.0</v>
      </c>
      <c r="L54" s="1">
        <v>33.0</v>
      </c>
      <c r="M54" s="1">
        <v>479.0</v>
      </c>
      <c r="N54" s="1">
        <v>375.0</v>
      </c>
      <c r="O54" s="1">
        <v>85.0</v>
      </c>
      <c r="P54" s="1">
        <v>392.0</v>
      </c>
      <c r="Q54" s="1">
        <v>68.0</v>
      </c>
      <c r="R54" s="1" t="s">
        <v>161</v>
      </c>
      <c r="S54" s="4">
        <f t="shared" si="1"/>
        <v>7675572.72</v>
      </c>
      <c r="T54" s="5">
        <f t="shared" si="2"/>
        <v>0.009602863845</v>
      </c>
      <c r="U54" s="5">
        <f t="shared" si="3"/>
        <v>0.7750794286</v>
      </c>
      <c r="V54" s="4" t="str">
        <f t="shared" si="4"/>
        <v>A</v>
      </c>
      <c r="W54" s="5">
        <f t="shared" si="5"/>
        <v>230.3333333</v>
      </c>
      <c r="X54" s="5">
        <f t="shared" si="6"/>
        <v>175.6911748</v>
      </c>
      <c r="Y54" s="5">
        <f t="shared" si="7"/>
        <v>0.7627692103</v>
      </c>
      <c r="Z54" s="4" t="str">
        <f t="shared" si="8"/>
        <v>Z</v>
      </c>
      <c r="AA54" s="4" t="str">
        <f t="shared" si="9"/>
        <v>N</v>
      </c>
    </row>
    <row r="55" ht="15.75" customHeight="1">
      <c r="A55" s="1" t="s">
        <v>162</v>
      </c>
      <c r="B55" s="1" t="s">
        <v>43</v>
      </c>
      <c r="C55" s="1">
        <v>2428.14</v>
      </c>
      <c r="D55" s="1">
        <v>3147.0</v>
      </c>
      <c r="E55" s="1">
        <v>320.0</v>
      </c>
      <c r="F55" s="1">
        <v>109.0</v>
      </c>
      <c r="G55" s="1">
        <v>158.0</v>
      </c>
      <c r="H55" s="1">
        <v>421.0</v>
      </c>
      <c r="I55" s="1">
        <v>371.0</v>
      </c>
      <c r="J55" s="1">
        <v>455.0</v>
      </c>
      <c r="K55" s="1">
        <v>240.0</v>
      </c>
      <c r="L55" s="1">
        <v>0.0</v>
      </c>
      <c r="M55" s="1">
        <v>97.0</v>
      </c>
      <c r="N55" s="1">
        <v>264.0</v>
      </c>
      <c r="O55" s="1">
        <v>490.0</v>
      </c>
      <c r="P55" s="1">
        <v>222.0</v>
      </c>
      <c r="Q55" s="1">
        <v>111.0</v>
      </c>
      <c r="R55" s="1" t="s">
        <v>163</v>
      </c>
      <c r="S55" s="4">
        <f t="shared" si="1"/>
        <v>7641356.58</v>
      </c>
      <c r="T55" s="5">
        <f t="shared" si="2"/>
        <v>0.009560056234</v>
      </c>
      <c r="U55" s="5">
        <f t="shared" si="3"/>
        <v>0.7843792772</v>
      </c>
      <c r="V55" s="4" t="str">
        <f t="shared" si="4"/>
        <v>A</v>
      </c>
      <c r="W55" s="5">
        <f t="shared" si="5"/>
        <v>262.25</v>
      </c>
      <c r="X55" s="5">
        <f t="shared" si="6"/>
        <v>147.7442187</v>
      </c>
      <c r="Y55" s="5">
        <f t="shared" si="7"/>
        <v>0.5633716634</v>
      </c>
      <c r="Z55" s="4" t="str">
        <f t="shared" si="8"/>
        <v>Z</v>
      </c>
      <c r="AA55" s="4" t="str">
        <f t="shared" si="9"/>
        <v>S</v>
      </c>
    </row>
    <row r="56" ht="15.75" customHeight="1">
      <c r="A56" s="1" t="s">
        <v>164</v>
      </c>
      <c r="B56" s="1" t="s">
        <v>81</v>
      </c>
      <c r="C56" s="1">
        <v>2050.02</v>
      </c>
      <c r="D56" s="1">
        <v>3626.0</v>
      </c>
      <c r="E56" s="1">
        <v>193.0</v>
      </c>
      <c r="F56" s="1">
        <v>233.0</v>
      </c>
      <c r="G56" s="1">
        <v>350.0</v>
      </c>
      <c r="H56" s="1">
        <v>467.0</v>
      </c>
      <c r="I56" s="1">
        <v>463.0</v>
      </c>
      <c r="J56" s="1">
        <v>281.0</v>
      </c>
      <c r="K56" s="1">
        <v>384.0</v>
      </c>
      <c r="L56" s="1">
        <v>165.0</v>
      </c>
      <c r="M56" s="1">
        <v>117.0</v>
      </c>
      <c r="N56" s="1">
        <v>396.0</v>
      </c>
      <c r="O56" s="1">
        <v>412.0</v>
      </c>
      <c r="P56" s="1">
        <v>165.0</v>
      </c>
      <c r="Q56" s="1">
        <v>243.0</v>
      </c>
      <c r="R56" s="1" t="s">
        <v>165</v>
      </c>
      <c r="S56" s="4">
        <f t="shared" si="1"/>
        <v>7433372.52</v>
      </c>
      <c r="T56" s="5">
        <f t="shared" si="2"/>
        <v>0.009299848601</v>
      </c>
      <c r="U56" s="5">
        <f t="shared" si="3"/>
        <v>0.79324275</v>
      </c>
      <c r="V56" s="4" t="str">
        <f t="shared" si="4"/>
        <v>A</v>
      </c>
      <c r="W56" s="5">
        <f t="shared" si="5"/>
        <v>302.1666667</v>
      </c>
      <c r="X56" s="5">
        <f t="shared" si="6"/>
        <v>119.7064697</v>
      </c>
      <c r="Y56" s="5">
        <f t="shared" si="7"/>
        <v>0.3961604072</v>
      </c>
      <c r="Z56" s="4" t="str">
        <f t="shared" si="8"/>
        <v>Y</v>
      </c>
      <c r="AA56" s="4" t="str">
        <f t="shared" si="9"/>
        <v>F</v>
      </c>
    </row>
    <row r="57" ht="15.75" customHeight="1">
      <c r="A57" s="1" t="s">
        <v>166</v>
      </c>
      <c r="B57" s="1" t="s">
        <v>34</v>
      </c>
      <c r="C57" s="1">
        <v>2094.17</v>
      </c>
      <c r="D57" s="1">
        <v>3383.0</v>
      </c>
      <c r="E57" s="1">
        <v>371.0</v>
      </c>
      <c r="F57" s="1">
        <v>60.0</v>
      </c>
      <c r="G57" s="1">
        <v>84.0</v>
      </c>
      <c r="H57" s="1">
        <v>464.0</v>
      </c>
      <c r="I57" s="1">
        <v>148.0</v>
      </c>
      <c r="J57" s="1">
        <v>325.0</v>
      </c>
      <c r="K57" s="1">
        <v>235.0</v>
      </c>
      <c r="L57" s="1">
        <v>454.0</v>
      </c>
      <c r="M57" s="1">
        <v>444.0</v>
      </c>
      <c r="N57" s="1">
        <v>468.0</v>
      </c>
      <c r="O57" s="1">
        <v>324.0</v>
      </c>
      <c r="P57" s="1">
        <v>6.0</v>
      </c>
      <c r="Q57" s="1">
        <v>237.0</v>
      </c>
      <c r="R57" s="1" t="s">
        <v>167</v>
      </c>
      <c r="S57" s="4">
        <f t="shared" si="1"/>
        <v>7084577.11</v>
      </c>
      <c r="T57" s="5">
        <f t="shared" si="2"/>
        <v>0.008863472717</v>
      </c>
      <c r="U57" s="5">
        <f t="shared" si="3"/>
        <v>0.8019908665</v>
      </c>
      <c r="V57" s="4" t="str">
        <f t="shared" si="4"/>
        <v>B</v>
      </c>
      <c r="W57" s="5">
        <f t="shared" si="5"/>
        <v>281.9166667</v>
      </c>
      <c r="X57" s="5">
        <f t="shared" si="6"/>
        <v>163.2765845</v>
      </c>
      <c r="Y57" s="5">
        <f t="shared" si="7"/>
        <v>0.579166129</v>
      </c>
      <c r="Z57" s="4" t="str">
        <f t="shared" si="8"/>
        <v>Z</v>
      </c>
      <c r="AA57" s="4" t="str">
        <f t="shared" si="9"/>
        <v>F</v>
      </c>
    </row>
    <row r="58" ht="15.75" customHeight="1">
      <c r="A58" s="1" t="s">
        <v>168</v>
      </c>
      <c r="B58" s="1" t="s">
        <v>169</v>
      </c>
      <c r="C58" s="1">
        <v>2223.33</v>
      </c>
      <c r="D58" s="1">
        <v>3145.0</v>
      </c>
      <c r="E58" s="1">
        <v>320.0</v>
      </c>
      <c r="F58" s="1">
        <v>493.0</v>
      </c>
      <c r="G58" s="1">
        <v>476.0</v>
      </c>
      <c r="H58" s="1">
        <v>464.0</v>
      </c>
      <c r="I58" s="1">
        <v>358.0</v>
      </c>
      <c r="J58" s="1">
        <v>91.0</v>
      </c>
      <c r="K58" s="1">
        <v>74.0</v>
      </c>
      <c r="L58" s="1">
        <v>257.0</v>
      </c>
      <c r="M58" s="1">
        <v>164.0</v>
      </c>
      <c r="N58" s="1">
        <v>384.0</v>
      </c>
      <c r="O58" s="1">
        <v>62.0</v>
      </c>
      <c r="P58" s="1">
        <v>2.0</v>
      </c>
      <c r="Q58" s="1">
        <v>48.0</v>
      </c>
      <c r="R58" s="1" t="s">
        <v>170</v>
      </c>
      <c r="S58" s="4">
        <f t="shared" si="1"/>
        <v>6992372.85</v>
      </c>
      <c r="T58" s="5">
        <f t="shared" si="2"/>
        <v>0.00874811651</v>
      </c>
      <c r="U58" s="5">
        <f t="shared" si="3"/>
        <v>0.8107301219</v>
      </c>
      <c r="V58" s="4" t="str">
        <f t="shared" si="4"/>
        <v>B</v>
      </c>
      <c r="W58" s="5">
        <f t="shared" si="5"/>
        <v>262.0833333</v>
      </c>
      <c r="X58" s="5">
        <f t="shared" si="6"/>
        <v>170.5967264</v>
      </c>
      <c r="Y58" s="5">
        <f t="shared" si="7"/>
        <v>0.6509255061</v>
      </c>
      <c r="Z58" s="4" t="str">
        <f t="shared" si="8"/>
        <v>Z</v>
      </c>
      <c r="AA58" s="4" t="str">
        <f t="shared" si="9"/>
        <v>N</v>
      </c>
    </row>
    <row r="59" ht="15.75" customHeight="1">
      <c r="A59" s="1" t="s">
        <v>171</v>
      </c>
      <c r="B59" s="1" t="s">
        <v>43</v>
      </c>
      <c r="C59" s="1">
        <v>2884.1</v>
      </c>
      <c r="D59" s="1">
        <v>2422.0</v>
      </c>
      <c r="E59" s="1">
        <v>247.0</v>
      </c>
      <c r="F59" s="1">
        <v>237.0</v>
      </c>
      <c r="G59" s="1">
        <v>91.0</v>
      </c>
      <c r="H59" s="1">
        <v>259.0</v>
      </c>
      <c r="I59" s="1">
        <v>466.0</v>
      </c>
      <c r="J59" s="1">
        <v>321.0</v>
      </c>
      <c r="K59" s="1">
        <v>496.0</v>
      </c>
      <c r="L59" s="1">
        <v>55.0</v>
      </c>
      <c r="M59" s="1">
        <v>2.0</v>
      </c>
      <c r="N59" s="1">
        <v>4.0</v>
      </c>
      <c r="O59" s="1">
        <v>160.0</v>
      </c>
      <c r="P59" s="1">
        <v>84.0</v>
      </c>
      <c r="Q59" s="1">
        <v>180.0</v>
      </c>
      <c r="R59" s="1" t="s">
        <v>172</v>
      </c>
      <c r="S59" s="4">
        <f t="shared" si="1"/>
        <v>6985290.2</v>
      </c>
      <c r="T59" s="5">
        <f t="shared" si="2"/>
        <v>0.008739255448</v>
      </c>
      <c r="U59" s="5">
        <f t="shared" si="3"/>
        <v>0.8194221938</v>
      </c>
      <c r="V59" s="4" t="str">
        <f t="shared" si="4"/>
        <v>B</v>
      </c>
      <c r="W59" s="5">
        <f t="shared" si="5"/>
        <v>201.8333333</v>
      </c>
      <c r="X59" s="5">
        <f t="shared" si="6"/>
        <v>159.5863577</v>
      </c>
      <c r="Y59" s="5">
        <f t="shared" si="7"/>
        <v>0.790683853</v>
      </c>
      <c r="Z59" s="4" t="str">
        <f t="shared" si="8"/>
        <v>Z</v>
      </c>
      <c r="AA59" s="4" t="str">
        <f t="shared" si="9"/>
        <v>S</v>
      </c>
    </row>
    <row r="60" ht="15.75" customHeight="1">
      <c r="A60" s="1" t="s">
        <v>173</v>
      </c>
      <c r="B60" s="1" t="s">
        <v>37</v>
      </c>
      <c r="C60" s="1">
        <v>2829.97</v>
      </c>
      <c r="D60" s="1">
        <v>2455.0</v>
      </c>
      <c r="E60" s="1">
        <v>98.0</v>
      </c>
      <c r="F60" s="1">
        <v>209.0</v>
      </c>
      <c r="G60" s="1">
        <v>445.0</v>
      </c>
      <c r="H60" s="1">
        <v>188.0</v>
      </c>
      <c r="I60" s="1">
        <v>413.0</v>
      </c>
      <c r="J60" s="1">
        <v>31.0</v>
      </c>
      <c r="K60" s="1">
        <v>322.0</v>
      </c>
      <c r="L60" s="1">
        <v>318.0</v>
      </c>
      <c r="M60" s="1">
        <v>194.0</v>
      </c>
      <c r="N60" s="1">
        <v>55.0</v>
      </c>
      <c r="O60" s="1">
        <v>144.0</v>
      </c>
      <c r="P60" s="1">
        <v>38.0</v>
      </c>
      <c r="Q60" s="1">
        <v>66.0</v>
      </c>
      <c r="R60" s="1" t="s">
        <v>174</v>
      </c>
      <c r="S60" s="4">
        <f t="shared" si="1"/>
        <v>6947576.35</v>
      </c>
      <c r="T60" s="5">
        <f t="shared" si="2"/>
        <v>0.008692071872</v>
      </c>
      <c r="U60" s="5">
        <f t="shared" si="3"/>
        <v>0.8278767745</v>
      </c>
      <c r="V60" s="4" t="str">
        <f t="shared" si="4"/>
        <v>B</v>
      </c>
      <c r="W60" s="5">
        <f t="shared" si="5"/>
        <v>204.5833333</v>
      </c>
      <c r="X60" s="5">
        <f t="shared" si="6"/>
        <v>136.498143</v>
      </c>
      <c r="Y60" s="5">
        <f t="shared" si="7"/>
        <v>0.6672006992</v>
      </c>
      <c r="Z60" s="4" t="str">
        <f t="shared" si="8"/>
        <v>Z</v>
      </c>
      <c r="AA60" s="4" t="str">
        <f t="shared" si="9"/>
        <v>N</v>
      </c>
    </row>
    <row r="61" ht="15.75" customHeight="1">
      <c r="A61" s="1" t="s">
        <v>175</v>
      </c>
      <c r="B61" s="1" t="s">
        <v>66</v>
      </c>
      <c r="C61" s="1">
        <v>2098.68</v>
      </c>
      <c r="D61" s="1">
        <v>3220.0</v>
      </c>
      <c r="E61" s="1">
        <v>215.0</v>
      </c>
      <c r="F61" s="1">
        <v>1.0</v>
      </c>
      <c r="G61" s="1">
        <v>277.0</v>
      </c>
      <c r="H61" s="1">
        <v>393.0</v>
      </c>
      <c r="I61" s="1">
        <v>202.0</v>
      </c>
      <c r="J61" s="1">
        <v>303.0</v>
      </c>
      <c r="K61" s="1">
        <v>496.0</v>
      </c>
      <c r="L61" s="1">
        <v>242.0</v>
      </c>
      <c r="M61" s="1">
        <v>291.0</v>
      </c>
      <c r="N61" s="1">
        <v>217.0</v>
      </c>
      <c r="O61" s="1">
        <v>170.0</v>
      </c>
      <c r="P61" s="1">
        <v>413.0</v>
      </c>
      <c r="Q61" s="1">
        <v>156.0</v>
      </c>
      <c r="R61" s="1" t="s">
        <v>176</v>
      </c>
      <c r="S61" s="4">
        <f t="shared" si="1"/>
        <v>6757749.6</v>
      </c>
      <c r="T61" s="5">
        <f t="shared" si="2"/>
        <v>0.008454580743</v>
      </c>
      <c r="U61" s="5">
        <f t="shared" si="3"/>
        <v>0.8363273528</v>
      </c>
      <c r="V61" s="4" t="str">
        <f t="shared" si="4"/>
        <v>B</v>
      </c>
      <c r="W61" s="5">
        <f t="shared" si="5"/>
        <v>268.3333333</v>
      </c>
      <c r="X61" s="5">
        <f t="shared" si="6"/>
        <v>123.086239</v>
      </c>
      <c r="Y61" s="5">
        <f t="shared" si="7"/>
        <v>0.4587064806</v>
      </c>
      <c r="Z61" s="4" t="str">
        <f t="shared" si="8"/>
        <v>Y</v>
      </c>
      <c r="AA61" s="4" t="str">
        <f t="shared" si="9"/>
        <v>S</v>
      </c>
    </row>
    <row r="62" ht="15.75" customHeight="1">
      <c r="A62" s="1" t="s">
        <v>177</v>
      </c>
      <c r="B62" s="1" t="s">
        <v>158</v>
      </c>
      <c r="C62" s="1">
        <v>2345.33</v>
      </c>
      <c r="D62" s="1">
        <v>2880.0</v>
      </c>
      <c r="E62" s="1">
        <v>286.0</v>
      </c>
      <c r="F62" s="1">
        <v>177.0</v>
      </c>
      <c r="G62" s="1">
        <v>411.0</v>
      </c>
      <c r="H62" s="1">
        <v>205.0</v>
      </c>
      <c r="I62" s="1">
        <v>6.0</v>
      </c>
      <c r="J62" s="1">
        <v>179.0</v>
      </c>
      <c r="K62" s="1">
        <v>247.0</v>
      </c>
      <c r="L62" s="1">
        <v>378.0</v>
      </c>
      <c r="M62" s="1">
        <v>315.0</v>
      </c>
      <c r="N62" s="1">
        <v>21.0</v>
      </c>
      <c r="O62" s="1">
        <v>157.0</v>
      </c>
      <c r="P62" s="1">
        <v>498.0</v>
      </c>
      <c r="Q62" s="1">
        <v>208.0</v>
      </c>
      <c r="R62" s="1" t="s">
        <v>178</v>
      </c>
      <c r="S62" s="4">
        <f t="shared" si="1"/>
        <v>6754550.4</v>
      </c>
      <c r="T62" s="5">
        <f t="shared" si="2"/>
        <v>0.008450578242</v>
      </c>
      <c r="U62" s="5">
        <f t="shared" si="3"/>
        <v>0.8445051274</v>
      </c>
      <c r="V62" s="4" t="str">
        <f t="shared" si="4"/>
        <v>B</v>
      </c>
      <c r="W62" s="5">
        <f t="shared" si="5"/>
        <v>240</v>
      </c>
      <c r="X62" s="5">
        <f t="shared" si="6"/>
        <v>141.7627125</v>
      </c>
      <c r="Y62" s="5">
        <f t="shared" si="7"/>
        <v>0.5906779689</v>
      </c>
      <c r="Z62" s="4" t="str">
        <f t="shared" si="8"/>
        <v>Z</v>
      </c>
      <c r="AA62" s="4" t="str">
        <f t="shared" si="9"/>
        <v>F</v>
      </c>
    </row>
    <row r="63" ht="15.75" customHeight="1">
      <c r="A63" s="1" t="s">
        <v>179</v>
      </c>
      <c r="B63" s="1" t="s">
        <v>180</v>
      </c>
      <c r="C63" s="1">
        <v>1735.2</v>
      </c>
      <c r="D63" s="1">
        <v>3767.0</v>
      </c>
      <c r="E63" s="1">
        <v>485.0</v>
      </c>
      <c r="F63" s="1">
        <v>459.0</v>
      </c>
      <c r="G63" s="1">
        <v>50.0</v>
      </c>
      <c r="H63" s="1">
        <v>256.0</v>
      </c>
      <c r="I63" s="1">
        <v>382.0</v>
      </c>
      <c r="J63" s="1">
        <v>426.0</v>
      </c>
      <c r="K63" s="1">
        <v>489.0</v>
      </c>
      <c r="L63" s="1">
        <v>108.0</v>
      </c>
      <c r="M63" s="1">
        <v>428.0</v>
      </c>
      <c r="N63" s="1">
        <v>157.0</v>
      </c>
      <c r="O63" s="1">
        <v>498.0</v>
      </c>
      <c r="P63" s="1">
        <v>29.0</v>
      </c>
      <c r="Q63" s="1">
        <v>191.0</v>
      </c>
      <c r="R63" s="1" t="s">
        <v>181</v>
      </c>
      <c r="S63" s="4">
        <f t="shared" si="1"/>
        <v>6536498.4</v>
      </c>
      <c r="T63" s="5">
        <f t="shared" si="2"/>
        <v>0.008177774669</v>
      </c>
      <c r="U63" s="5">
        <f t="shared" si="3"/>
        <v>0.8525691043</v>
      </c>
      <c r="V63" s="4" t="str">
        <f t="shared" si="4"/>
        <v>B</v>
      </c>
      <c r="W63" s="5">
        <f t="shared" si="5"/>
        <v>313.9166667</v>
      </c>
      <c r="X63" s="5">
        <f t="shared" si="6"/>
        <v>174.709501</v>
      </c>
      <c r="Y63" s="5">
        <f t="shared" si="7"/>
        <v>0.5565473882</v>
      </c>
      <c r="Z63" s="4" t="str">
        <f t="shared" si="8"/>
        <v>Z</v>
      </c>
      <c r="AA63" s="4" t="str">
        <f t="shared" si="9"/>
        <v>S</v>
      </c>
    </row>
    <row r="64" ht="15.75" customHeight="1">
      <c r="A64" s="1" t="s">
        <v>182</v>
      </c>
      <c r="B64" s="1" t="s">
        <v>28</v>
      </c>
      <c r="C64" s="1">
        <v>2327.75</v>
      </c>
      <c r="D64" s="1">
        <v>2769.0</v>
      </c>
      <c r="E64" s="1">
        <v>52.0</v>
      </c>
      <c r="F64" s="1">
        <v>122.0</v>
      </c>
      <c r="G64" s="1">
        <v>324.0</v>
      </c>
      <c r="H64" s="1">
        <v>181.0</v>
      </c>
      <c r="I64" s="1">
        <v>156.0</v>
      </c>
      <c r="J64" s="1">
        <v>270.0</v>
      </c>
      <c r="K64" s="1">
        <v>438.0</v>
      </c>
      <c r="L64" s="1">
        <v>223.0</v>
      </c>
      <c r="M64" s="1">
        <v>32.0</v>
      </c>
      <c r="N64" s="1">
        <v>396.0</v>
      </c>
      <c r="O64" s="1">
        <v>284.0</v>
      </c>
      <c r="P64" s="1">
        <v>291.0</v>
      </c>
      <c r="Q64" s="1">
        <v>134.0</v>
      </c>
      <c r="R64" s="1" t="s">
        <v>183</v>
      </c>
      <c r="S64" s="4">
        <f t="shared" si="1"/>
        <v>6445539.75</v>
      </c>
      <c r="T64" s="5">
        <f t="shared" si="2"/>
        <v>0.008063976837</v>
      </c>
      <c r="U64" s="5">
        <f t="shared" si="3"/>
        <v>0.8602436135</v>
      </c>
      <c r="V64" s="4" t="str">
        <f t="shared" si="4"/>
        <v>B</v>
      </c>
      <c r="W64" s="5">
        <f t="shared" si="5"/>
        <v>230.75</v>
      </c>
      <c r="X64" s="5">
        <f t="shared" si="6"/>
        <v>121.9167236</v>
      </c>
      <c r="Y64" s="5">
        <f t="shared" si="7"/>
        <v>0.5283498315</v>
      </c>
      <c r="Z64" s="4" t="str">
        <f t="shared" si="8"/>
        <v>Z</v>
      </c>
      <c r="AA64" s="4" t="str">
        <f t="shared" si="9"/>
        <v>S</v>
      </c>
    </row>
    <row r="65" ht="15.75" customHeight="1">
      <c r="A65" s="1" t="s">
        <v>184</v>
      </c>
      <c r="B65" s="1" t="s">
        <v>185</v>
      </c>
      <c r="C65" s="1">
        <v>2199.44</v>
      </c>
      <c r="D65" s="1">
        <v>2789.0</v>
      </c>
      <c r="E65" s="1">
        <v>170.0</v>
      </c>
      <c r="F65" s="1">
        <v>224.0</v>
      </c>
      <c r="G65" s="1">
        <v>474.0</v>
      </c>
      <c r="H65" s="1">
        <v>130.0</v>
      </c>
      <c r="I65" s="1">
        <v>48.0</v>
      </c>
      <c r="J65" s="1">
        <v>58.0</v>
      </c>
      <c r="K65" s="1">
        <v>492.0</v>
      </c>
      <c r="L65" s="1">
        <v>169.0</v>
      </c>
      <c r="M65" s="1">
        <v>388.0</v>
      </c>
      <c r="N65" s="1">
        <v>125.0</v>
      </c>
      <c r="O65" s="1">
        <v>21.0</v>
      </c>
      <c r="P65" s="1">
        <v>490.0</v>
      </c>
      <c r="Q65" s="1">
        <v>249.0</v>
      </c>
      <c r="R65" s="1" t="s">
        <v>186</v>
      </c>
      <c r="S65" s="4">
        <f t="shared" si="1"/>
        <v>6134238.16</v>
      </c>
      <c r="T65" s="5">
        <f t="shared" si="2"/>
        <v>0.007674509251</v>
      </c>
      <c r="U65" s="5">
        <f t="shared" si="3"/>
        <v>0.8676882084</v>
      </c>
      <c r="V65" s="4" t="str">
        <f t="shared" si="4"/>
        <v>B</v>
      </c>
      <c r="W65" s="5">
        <f t="shared" si="5"/>
        <v>232.4166667</v>
      </c>
      <c r="X65" s="5">
        <f t="shared" si="6"/>
        <v>172.1058097</v>
      </c>
      <c r="Y65" s="5">
        <f t="shared" si="7"/>
        <v>0.7405054557</v>
      </c>
      <c r="Z65" s="4" t="str">
        <f t="shared" si="8"/>
        <v>Z</v>
      </c>
      <c r="AA65" s="4" t="str">
        <f t="shared" si="9"/>
        <v>F</v>
      </c>
    </row>
    <row r="66" ht="15.75" customHeight="1">
      <c r="A66" s="1" t="s">
        <v>187</v>
      </c>
      <c r="B66" s="1" t="s">
        <v>188</v>
      </c>
      <c r="C66" s="1">
        <v>2596.19</v>
      </c>
      <c r="D66" s="1">
        <v>2292.0</v>
      </c>
      <c r="E66" s="1">
        <v>98.0</v>
      </c>
      <c r="F66" s="1">
        <v>22.0</v>
      </c>
      <c r="G66" s="1">
        <v>326.0</v>
      </c>
      <c r="H66" s="1">
        <v>214.0</v>
      </c>
      <c r="I66" s="1">
        <v>18.0</v>
      </c>
      <c r="J66" s="1">
        <v>435.0</v>
      </c>
      <c r="K66" s="1">
        <v>144.0</v>
      </c>
      <c r="L66" s="1">
        <v>492.0</v>
      </c>
      <c r="M66" s="1">
        <v>42.0</v>
      </c>
      <c r="N66" s="1">
        <v>248.0</v>
      </c>
      <c r="O66" s="1">
        <v>200.0</v>
      </c>
      <c r="P66" s="1">
        <v>53.0</v>
      </c>
      <c r="Q66" s="1">
        <v>191.0</v>
      </c>
      <c r="R66" s="1" t="s">
        <v>189</v>
      </c>
      <c r="S66" s="4">
        <f t="shared" si="1"/>
        <v>5950467.48</v>
      </c>
      <c r="T66" s="5">
        <f t="shared" si="2"/>
        <v>0.007444594835</v>
      </c>
      <c r="U66" s="5">
        <f t="shared" si="3"/>
        <v>0.8746619937</v>
      </c>
      <c r="V66" s="4" t="str">
        <f t="shared" si="4"/>
        <v>B</v>
      </c>
      <c r="W66" s="5">
        <f t="shared" si="5"/>
        <v>191</v>
      </c>
      <c r="X66" s="5">
        <f t="shared" si="6"/>
        <v>153.5181857</v>
      </c>
      <c r="Y66" s="5">
        <f t="shared" si="7"/>
        <v>0.8037601344</v>
      </c>
      <c r="Z66" s="4" t="str">
        <f t="shared" si="8"/>
        <v>Z</v>
      </c>
      <c r="AA66" s="4" t="str">
        <f t="shared" si="9"/>
        <v>S</v>
      </c>
    </row>
    <row r="67" ht="15.75" customHeight="1">
      <c r="A67" s="1" t="s">
        <v>190</v>
      </c>
      <c r="B67" s="1" t="s">
        <v>72</v>
      </c>
      <c r="C67" s="1">
        <v>1541.95</v>
      </c>
      <c r="D67" s="1">
        <v>3615.0</v>
      </c>
      <c r="E67" s="1">
        <v>398.0</v>
      </c>
      <c r="F67" s="1">
        <v>272.0</v>
      </c>
      <c r="G67" s="1">
        <v>348.0</v>
      </c>
      <c r="H67" s="1">
        <v>379.0</v>
      </c>
      <c r="I67" s="1">
        <v>414.0</v>
      </c>
      <c r="J67" s="1">
        <v>470.0</v>
      </c>
      <c r="K67" s="1">
        <v>285.0</v>
      </c>
      <c r="L67" s="1">
        <v>291.0</v>
      </c>
      <c r="M67" s="1">
        <v>49.0</v>
      </c>
      <c r="N67" s="1">
        <v>315.0</v>
      </c>
      <c r="O67" s="1">
        <v>101.0</v>
      </c>
      <c r="P67" s="1">
        <v>293.0</v>
      </c>
      <c r="Q67" s="1">
        <v>89.0</v>
      </c>
      <c r="R67" s="1" t="s">
        <v>191</v>
      </c>
      <c r="S67" s="4">
        <f t="shared" si="1"/>
        <v>5574149.25</v>
      </c>
      <c r="T67" s="5">
        <f t="shared" si="2"/>
        <v>0.006973785313</v>
      </c>
      <c r="U67" s="5">
        <f t="shared" si="3"/>
        <v>0.8814857991</v>
      </c>
      <c r="V67" s="4" t="str">
        <f t="shared" si="4"/>
        <v>B</v>
      </c>
      <c r="W67" s="5">
        <f t="shared" si="5"/>
        <v>301.25</v>
      </c>
      <c r="X67" s="5">
        <f t="shared" si="6"/>
        <v>116.9017572</v>
      </c>
      <c r="Y67" s="5">
        <f t="shared" si="7"/>
        <v>0.3880556255</v>
      </c>
      <c r="Z67" s="4" t="str">
        <f t="shared" si="8"/>
        <v>Y</v>
      </c>
      <c r="AA67" s="4" t="str">
        <f t="shared" si="9"/>
        <v>S</v>
      </c>
    </row>
    <row r="68" ht="15.75" customHeight="1">
      <c r="A68" s="1" t="s">
        <v>192</v>
      </c>
      <c r="B68" s="1" t="s">
        <v>85</v>
      </c>
      <c r="C68" s="1">
        <v>2190.47</v>
      </c>
      <c r="D68" s="1">
        <v>2490.0</v>
      </c>
      <c r="E68" s="1">
        <v>390.0</v>
      </c>
      <c r="F68" s="1">
        <v>161.0</v>
      </c>
      <c r="G68" s="1">
        <v>437.0</v>
      </c>
      <c r="H68" s="1">
        <v>11.0</v>
      </c>
      <c r="I68" s="1">
        <v>105.0</v>
      </c>
      <c r="J68" s="1">
        <v>83.0</v>
      </c>
      <c r="K68" s="1">
        <v>294.0</v>
      </c>
      <c r="L68" s="1">
        <v>251.0</v>
      </c>
      <c r="M68" s="1">
        <v>196.0</v>
      </c>
      <c r="N68" s="1">
        <v>27.0</v>
      </c>
      <c r="O68" s="1">
        <v>124.0</v>
      </c>
      <c r="P68" s="1">
        <v>411.0</v>
      </c>
      <c r="Q68" s="1">
        <v>213.0</v>
      </c>
      <c r="R68" s="1" t="s">
        <v>193</v>
      </c>
      <c r="S68" s="4">
        <f t="shared" si="1"/>
        <v>5454270.3</v>
      </c>
      <c r="T68" s="5">
        <f t="shared" si="2"/>
        <v>0.006823805464</v>
      </c>
      <c r="U68" s="5">
        <f t="shared" si="3"/>
        <v>0.8882967149</v>
      </c>
      <c r="V68" s="4" t="str">
        <f t="shared" si="4"/>
        <v>B</v>
      </c>
      <c r="W68" s="5">
        <f t="shared" si="5"/>
        <v>207.5</v>
      </c>
      <c r="X68" s="5">
        <f t="shared" si="6"/>
        <v>142.3695309</v>
      </c>
      <c r="Y68" s="5">
        <f t="shared" si="7"/>
        <v>0.6861182213</v>
      </c>
      <c r="Z68" s="4" t="str">
        <f t="shared" si="8"/>
        <v>Z</v>
      </c>
      <c r="AA68" s="4" t="str">
        <f t="shared" si="9"/>
        <v>F</v>
      </c>
    </row>
    <row r="69" ht="15.75" customHeight="1">
      <c r="A69" s="1" t="s">
        <v>194</v>
      </c>
      <c r="B69" s="1" t="s">
        <v>69</v>
      </c>
      <c r="C69" s="1">
        <v>1943.58</v>
      </c>
      <c r="D69" s="1">
        <v>2801.0</v>
      </c>
      <c r="E69" s="1">
        <v>243.0</v>
      </c>
      <c r="F69" s="1">
        <v>499.0</v>
      </c>
      <c r="G69" s="1">
        <v>484.0</v>
      </c>
      <c r="H69" s="1">
        <v>75.0</v>
      </c>
      <c r="I69" s="1">
        <v>306.0</v>
      </c>
      <c r="J69" s="1">
        <v>41.0</v>
      </c>
      <c r="K69" s="1">
        <v>308.0</v>
      </c>
      <c r="L69" s="1">
        <v>216.0</v>
      </c>
      <c r="M69" s="1">
        <v>154.0</v>
      </c>
      <c r="N69" s="1">
        <v>88.0</v>
      </c>
      <c r="O69" s="1">
        <v>128.0</v>
      </c>
      <c r="P69" s="1">
        <v>259.0</v>
      </c>
      <c r="Q69" s="1">
        <v>4.0</v>
      </c>
      <c r="R69" s="1" t="s">
        <v>195</v>
      </c>
      <c r="S69" s="4">
        <f t="shared" si="1"/>
        <v>5443967.58</v>
      </c>
      <c r="T69" s="5">
        <f t="shared" si="2"/>
        <v>0.006810915792</v>
      </c>
      <c r="U69" s="5">
        <f t="shared" si="3"/>
        <v>0.8950609309</v>
      </c>
      <c r="V69" s="4" t="str">
        <f t="shared" si="4"/>
        <v>B</v>
      </c>
      <c r="W69" s="5">
        <f t="shared" si="5"/>
        <v>233.4166667</v>
      </c>
      <c r="X69" s="5">
        <f t="shared" si="6"/>
        <v>143.1470446</v>
      </c>
      <c r="Y69" s="5">
        <f t="shared" si="7"/>
        <v>0.6132683098</v>
      </c>
      <c r="Z69" s="4" t="str">
        <f t="shared" si="8"/>
        <v>Z</v>
      </c>
      <c r="AA69" s="4" t="str">
        <f t="shared" si="9"/>
        <v>N</v>
      </c>
    </row>
    <row r="70" ht="15.75" customHeight="1">
      <c r="A70" s="1" t="s">
        <v>196</v>
      </c>
      <c r="B70" s="1" t="s">
        <v>102</v>
      </c>
      <c r="C70" s="1">
        <v>2459.8</v>
      </c>
      <c r="D70" s="1">
        <v>2198.0</v>
      </c>
      <c r="E70" s="1">
        <v>230.0</v>
      </c>
      <c r="F70" s="1">
        <v>363.0</v>
      </c>
      <c r="G70" s="1">
        <v>5.0</v>
      </c>
      <c r="H70" s="1">
        <v>79.0</v>
      </c>
      <c r="I70" s="1">
        <v>388.0</v>
      </c>
      <c r="J70" s="1">
        <v>98.0</v>
      </c>
      <c r="K70" s="1">
        <v>171.0</v>
      </c>
      <c r="L70" s="1">
        <v>483.0</v>
      </c>
      <c r="M70" s="1">
        <v>75.0</v>
      </c>
      <c r="N70" s="1">
        <v>44.0</v>
      </c>
      <c r="O70" s="1">
        <v>149.0</v>
      </c>
      <c r="P70" s="1">
        <v>113.0</v>
      </c>
      <c r="Q70" s="1">
        <v>237.0</v>
      </c>
      <c r="R70" s="1" t="s">
        <v>197</v>
      </c>
      <c r="S70" s="4">
        <f t="shared" si="1"/>
        <v>5406640.4</v>
      </c>
      <c r="T70" s="5">
        <f t="shared" si="2"/>
        <v>0.006764215976</v>
      </c>
      <c r="U70" s="5">
        <f t="shared" si="3"/>
        <v>0.9016943866</v>
      </c>
      <c r="V70" s="4" t="str">
        <f t="shared" si="4"/>
        <v>B</v>
      </c>
      <c r="W70" s="5">
        <f t="shared" si="5"/>
        <v>183.1666667</v>
      </c>
      <c r="X70" s="5">
        <f t="shared" si="6"/>
        <v>145.3569362</v>
      </c>
      <c r="Y70" s="5">
        <f t="shared" si="7"/>
        <v>0.7935774494</v>
      </c>
      <c r="Z70" s="4" t="str">
        <f t="shared" si="8"/>
        <v>Z</v>
      </c>
      <c r="AA70" s="4" t="str">
        <f t="shared" si="9"/>
        <v>F</v>
      </c>
    </row>
    <row r="71" ht="15.75" customHeight="1">
      <c r="A71" s="1" t="s">
        <v>198</v>
      </c>
      <c r="B71" s="1" t="s">
        <v>28</v>
      </c>
      <c r="C71" s="1">
        <v>1705.96</v>
      </c>
      <c r="D71" s="1">
        <v>3108.0</v>
      </c>
      <c r="E71" s="1">
        <v>158.0</v>
      </c>
      <c r="F71" s="1">
        <v>428.0</v>
      </c>
      <c r="G71" s="1">
        <v>255.0</v>
      </c>
      <c r="H71" s="1">
        <v>238.0</v>
      </c>
      <c r="I71" s="1">
        <v>157.0</v>
      </c>
      <c r="J71" s="1">
        <v>415.0</v>
      </c>
      <c r="K71" s="1">
        <v>485.0</v>
      </c>
      <c r="L71" s="1">
        <v>367.0</v>
      </c>
      <c r="M71" s="1">
        <v>128.0</v>
      </c>
      <c r="N71" s="1">
        <v>287.0</v>
      </c>
      <c r="O71" s="1">
        <v>38.0</v>
      </c>
      <c r="P71" s="1">
        <v>152.0</v>
      </c>
      <c r="Q71" s="1">
        <v>200.0</v>
      </c>
      <c r="R71" s="1" t="s">
        <v>199</v>
      </c>
      <c r="S71" s="4">
        <f t="shared" si="1"/>
        <v>5302123.68</v>
      </c>
      <c r="T71" s="5">
        <f t="shared" si="2"/>
        <v>0.006633455723</v>
      </c>
      <c r="U71" s="5">
        <f t="shared" si="3"/>
        <v>0.9082082194</v>
      </c>
      <c r="V71" s="4" t="str">
        <f t="shared" si="4"/>
        <v>B</v>
      </c>
      <c r="W71" s="5">
        <f t="shared" si="5"/>
        <v>259</v>
      </c>
      <c r="X71" s="5">
        <f t="shared" si="6"/>
        <v>133.8326069</v>
      </c>
      <c r="Y71" s="5">
        <f t="shared" si="7"/>
        <v>0.5167282119</v>
      </c>
      <c r="Z71" s="4" t="str">
        <f t="shared" si="8"/>
        <v>Z</v>
      </c>
      <c r="AA71" s="4" t="str">
        <f t="shared" si="9"/>
        <v>F</v>
      </c>
    </row>
    <row r="72" ht="15.75" customHeight="1">
      <c r="A72" s="1" t="s">
        <v>200</v>
      </c>
      <c r="B72" s="1" t="s">
        <v>201</v>
      </c>
      <c r="C72" s="1">
        <v>1743.64</v>
      </c>
      <c r="D72" s="1">
        <v>2986.0</v>
      </c>
      <c r="E72" s="1">
        <v>113.0</v>
      </c>
      <c r="F72" s="1">
        <v>287.0</v>
      </c>
      <c r="G72" s="1">
        <v>499.0</v>
      </c>
      <c r="H72" s="1">
        <v>221.0</v>
      </c>
      <c r="I72" s="1">
        <v>453.0</v>
      </c>
      <c r="J72" s="1">
        <v>274.0</v>
      </c>
      <c r="K72" s="1">
        <v>81.0</v>
      </c>
      <c r="L72" s="1">
        <v>18.0</v>
      </c>
      <c r="M72" s="1">
        <v>338.0</v>
      </c>
      <c r="N72" s="1">
        <v>332.0</v>
      </c>
      <c r="O72" s="1">
        <v>350.0</v>
      </c>
      <c r="P72" s="1">
        <v>20.0</v>
      </c>
      <c r="Q72" s="1">
        <v>89.0</v>
      </c>
      <c r="R72" s="1" t="s">
        <v>202</v>
      </c>
      <c r="S72" s="4">
        <f t="shared" si="1"/>
        <v>5206509.04</v>
      </c>
      <c r="T72" s="5">
        <f t="shared" si="2"/>
        <v>0.00651383281</v>
      </c>
      <c r="U72" s="5">
        <f t="shared" si="3"/>
        <v>0.9147070714</v>
      </c>
      <c r="V72" s="4" t="str">
        <f t="shared" si="4"/>
        <v>B</v>
      </c>
      <c r="W72" s="5">
        <f t="shared" si="5"/>
        <v>248.8333333</v>
      </c>
      <c r="X72" s="5">
        <f t="shared" si="6"/>
        <v>153.9755572</v>
      </c>
      <c r="Y72" s="5">
        <f t="shared" si="7"/>
        <v>0.6187899152</v>
      </c>
      <c r="Z72" s="4" t="str">
        <f t="shared" si="8"/>
        <v>Z</v>
      </c>
      <c r="AA72" s="4" t="str">
        <f t="shared" si="9"/>
        <v>S</v>
      </c>
    </row>
    <row r="73" ht="15.75" customHeight="1">
      <c r="A73" s="1" t="s">
        <v>203</v>
      </c>
      <c r="B73" s="1" t="s">
        <v>85</v>
      </c>
      <c r="C73" s="1">
        <v>2854.14</v>
      </c>
      <c r="D73" s="1">
        <v>1820.0</v>
      </c>
      <c r="E73" s="1">
        <v>353.0</v>
      </c>
      <c r="F73" s="1">
        <v>67.0</v>
      </c>
      <c r="G73" s="1">
        <v>54.0</v>
      </c>
      <c r="H73" s="1">
        <v>11.0</v>
      </c>
      <c r="I73" s="1">
        <v>261.0</v>
      </c>
      <c r="J73" s="1">
        <v>94.0</v>
      </c>
      <c r="K73" s="1">
        <v>245.0</v>
      </c>
      <c r="L73" s="1">
        <v>118.0</v>
      </c>
      <c r="M73" s="1">
        <v>275.0</v>
      </c>
      <c r="N73" s="1">
        <v>148.0</v>
      </c>
      <c r="O73" s="1">
        <v>19.0</v>
      </c>
      <c r="P73" s="1">
        <v>175.0</v>
      </c>
      <c r="Q73" s="1">
        <v>151.0</v>
      </c>
      <c r="R73" s="1" t="s">
        <v>204</v>
      </c>
      <c r="S73" s="4">
        <f t="shared" si="1"/>
        <v>5194534.8</v>
      </c>
      <c r="T73" s="5">
        <f t="shared" si="2"/>
        <v>0.006498851909</v>
      </c>
      <c r="U73" s="5">
        <f t="shared" si="3"/>
        <v>0.9208098829</v>
      </c>
      <c r="V73" s="4" t="str">
        <f t="shared" si="4"/>
        <v>B</v>
      </c>
      <c r="W73" s="5">
        <f t="shared" si="5"/>
        <v>151.6666667</v>
      </c>
      <c r="X73" s="5">
        <f t="shared" si="6"/>
        <v>106.2711417</v>
      </c>
      <c r="Y73" s="5">
        <f t="shared" si="7"/>
        <v>0.7006888463</v>
      </c>
      <c r="Z73" s="4" t="str">
        <f t="shared" si="8"/>
        <v>Z</v>
      </c>
      <c r="AA73" s="4" t="str">
        <f t="shared" si="9"/>
        <v>S</v>
      </c>
    </row>
    <row r="74" ht="15.75" customHeight="1">
      <c r="A74" s="1" t="s">
        <v>205</v>
      </c>
      <c r="B74" s="1" t="s">
        <v>206</v>
      </c>
      <c r="C74" s="1">
        <v>1596.72</v>
      </c>
      <c r="D74" s="1">
        <v>3055.0</v>
      </c>
      <c r="E74" s="1">
        <v>279.0</v>
      </c>
      <c r="F74" s="1">
        <v>293.0</v>
      </c>
      <c r="G74" s="1">
        <v>223.0</v>
      </c>
      <c r="H74" s="1">
        <v>488.0</v>
      </c>
      <c r="I74" s="1">
        <v>278.0</v>
      </c>
      <c r="J74" s="1">
        <v>169.0</v>
      </c>
      <c r="K74" s="1">
        <v>372.0</v>
      </c>
      <c r="L74" s="1">
        <v>309.0</v>
      </c>
      <c r="M74" s="1">
        <v>14.0</v>
      </c>
      <c r="N74" s="1">
        <v>148.0</v>
      </c>
      <c r="O74" s="1">
        <v>44.0</v>
      </c>
      <c r="P74" s="1">
        <v>438.0</v>
      </c>
      <c r="Q74" s="1">
        <v>28.0</v>
      </c>
      <c r="R74" s="1" t="s">
        <v>207</v>
      </c>
      <c r="S74" s="4">
        <f t="shared" si="1"/>
        <v>4877979.6</v>
      </c>
      <c r="T74" s="5">
        <f t="shared" si="2"/>
        <v>0.006102811562</v>
      </c>
      <c r="U74" s="5">
        <f t="shared" si="3"/>
        <v>0.926850968</v>
      </c>
      <c r="V74" s="4" t="str">
        <f t="shared" si="4"/>
        <v>B</v>
      </c>
      <c r="W74" s="5">
        <f t="shared" si="5"/>
        <v>254.5833333</v>
      </c>
      <c r="X74" s="5">
        <f t="shared" si="6"/>
        <v>138.2633106</v>
      </c>
      <c r="Y74" s="5">
        <f t="shared" si="7"/>
        <v>0.5430964737</v>
      </c>
      <c r="Z74" s="4" t="str">
        <f t="shared" si="8"/>
        <v>Z</v>
      </c>
      <c r="AA74" s="4" t="str">
        <f t="shared" si="9"/>
        <v>N</v>
      </c>
    </row>
    <row r="75" ht="15.75" customHeight="1">
      <c r="A75" s="1" t="s">
        <v>208</v>
      </c>
      <c r="B75" s="1" t="s">
        <v>93</v>
      </c>
      <c r="C75" s="1">
        <v>1356.36</v>
      </c>
      <c r="D75" s="1">
        <v>3560.0</v>
      </c>
      <c r="E75" s="1">
        <v>274.0</v>
      </c>
      <c r="F75" s="1">
        <v>452.0</v>
      </c>
      <c r="G75" s="1">
        <v>431.0</v>
      </c>
      <c r="H75" s="1">
        <v>414.0</v>
      </c>
      <c r="I75" s="1">
        <v>273.0</v>
      </c>
      <c r="J75" s="1">
        <v>173.0</v>
      </c>
      <c r="K75" s="1">
        <v>124.0</v>
      </c>
      <c r="L75" s="1">
        <v>82.0</v>
      </c>
      <c r="M75" s="1">
        <v>383.0</v>
      </c>
      <c r="N75" s="1">
        <v>407.0</v>
      </c>
      <c r="O75" s="1">
        <v>147.0</v>
      </c>
      <c r="P75" s="1">
        <v>400.0</v>
      </c>
      <c r="Q75" s="1">
        <v>123.0</v>
      </c>
      <c r="R75" s="1" t="s">
        <v>209</v>
      </c>
      <c r="S75" s="4">
        <f t="shared" si="1"/>
        <v>4828641.6</v>
      </c>
      <c r="T75" s="5">
        <f t="shared" si="2"/>
        <v>0.00604108508</v>
      </c>
      <c r="U75" s="5">
        <f t="shared" si="3"/>
        <v>0.9326696377</v>
      </c>
      <c r="V75" s="4" t="str">
        <f t="shared" si="4"/>
        <v>B</v>
      </c>
      <c r="W75" s="5">
        <f t="shared" si="5"/>
        <v>296.6666667</v>
      </c>
      <c r="X75" s="5">
        <f t="shared" si="6"/>
        <v>129.3923834</v>
      </c>
      <c r="Y75" s="5">
        <f t="shared" si="7"/>
        <v>0.4361541014</v>
      </c>
      <c r="Z75" s="4" t="str">
        <f t="shared" si="8"/>
        <v>Y</v>
      </c>
      <c r="AA75" s="4" t="str">
        <f t="shared" si="9"/>
        <v>S</v>
      </c>
    </row>
    <row r="76" ht="15.75" customHeight="1">
      <c r="A76" s="1" t="s">
        <v>210</v>
      </c>
      <c r="B76" s="1" t="s">
        <v>43</v>
      </c>
      <c r="C76" s="1">
        <v>1811.79</v>
      </c>
      <c r="D76" s="1">
        <v>2567.0</v>
      </c>
      <c r="E76" s="1">
        <v>20.0</v>
      </c>
      <c r="F76" s="1">
        <v>75.0</v>
      </c>
      <c r="G76" s="1">
        <v>11.0</v>
      </c>
      <c r="H76" s="1">
        <v>83.0</v>
      </c>
      <c r="I76" s="1">
        <v>252.0</v>
      </c>
      <c r="J76" s="1">
        <v>398.0</v>
      </c>
      <c r="K76" s="1">
        <v>339.0</v>
      </c>
      <c r="L76" s="1">
        <v>261.0</v>
      </c>
      <c r="M76" s="1">
        <v>254.0</v>
      </c>
      <c r="N76" s="1">
        <v>280.0</v>
      </c>
      <c r="O76" s="1">
        <v>425.0</v>
      </c>
      <c r="P76" s="1">
        <v>169.0</v>
      </c>
      <c r="Q76" s="1">
        <v>180.0</v>
      </c>
      <c r="R76" s="1" t="s">
        <v>211</v>
      </c>
      <c r="S76" s="4">
        <f t="shared" si="1"/>
        <v>4650864.93</v>
      </c>
      <c r="T76" s="5">
        <f t="shared" si="2"/>
        <v>0.005818669735</v>
      </c>
      <c r="U76" s="5">
        <f t="shared" si="3"/>
        <v>0.9383301309</v>
      </c>
      <c r="V76" s="4" t="str">
        <f t="shared" si="4"/>
        <v>B</v>
      </c>
      <c r="W76" s="5">
        <f t="shared" si="5"/>
        <v>213.9166667</v>
      </c>
      <c r="X76" s="5">
        <f t="shared" si="6"/>
        <v>135.6966337</v>
      </c>
      <c r="Y76" s="5">
        <f t="shared" si="7"/>
        <v>0.6343434375</v>
      </c>
      <c r="Z76" s="4" t="str">
        <f t="shared" si="8"/>
        <v>Z</v>
      </c>
      <c r="AA76" s="4" t="str">
        <f t="shared" si="9"/>
        <v>S</v>
      </c>
    </row>
    <row r="77" ht="15.75" customHeight="1">
      <c r="A77" s="1" t="s">
        <v>212</v>
      </c>
      <c r="B77" s="1" t="s">
        <v>49</v>
      </c>
      <c r="C77" s="1">
        <v>1492.72</v>
      </c>
      <c r="D77" s="1">
        <v>3031.0</v>
      </c>
      <c r="E77" s="1">
        <v>189.0</v>
      </c>
      <c r="F77" s="1">
        <v>236.0</v>
      </c>
      <c r="G77" s="1">
        <v>314.0</v>
      </c>
      <c r="H77" s="1">
        <v>398.0</v>
      </c>
      <c r="I77" s="1">
        <v>91.0</v>
      </c>
      <c r="J77" s="1">
        <v>210.0</v>
      </c>
      <c r="K77" s="1">
        <v>476.0</v>
      </c>
      <c r="L77" s="1">
        <v>159.0</v>
      </c>
      <c r="M77" s="1">
        <v>321.0</v>
      </c>
      <c r="N77" s="1">
        <v>135.0</v>
      </c>
      <c r="O77" s="1">
        <v>39.0</v>
      </c>
      <c r="P77" s="1">
        <v>463.0</v>
      </c>
      <c r="Q77" s="1">
        <v>224.0</v>
      </c>
      <c r="R77" s="1" t="s">
        <v>213</v>
      </c>
      <c r="S77" s="4">
        <f t="shared" si="1"/>
        <v>4524434.32</v>
      </c>
      <c r="T77" s="5">
        <f t="shared" si="2"/>
        <v>0.005660493143</v>
      </c>
      <c r="U77" s="5">
        <f t="shared" si="3"/>
        <v>0.9439271749</v>
      </c>
      <c r="V77" s="4" t="str">
        <f t="shared" si="4"/>
        <v>B</v>
      </c>
      <c r="W77" s="5">
        <f t="shared" si="5"/>
        <v>252.5833333</v>
      </c>
      <c r="X77" s="5">
        <f t="shared" si="6"/>
        <v>136.6964144</v>
      </c>
      <c r="Y77" s="5">
        <f t="shared" si="7"/>
        <v>0.5411933267</v>
      </c>
      <c r="Z77" s="4" t="str">
        <f t="shared" si="8"/>
        <v>Z</v>
      </c>
      <c r="AA77" s="4" t="str">
        <f t="shared" si="9"/>
        <v>F</v>
      </c>
    </row>
    <row r="78" ht="15.75" customHeight="1">
      <c r="A78" s="1" t="s">
        <v>214</v>
      </c>
      <c r="B78" s="1" t="s">
        <v>72</v>
      </c>
      <c r="C78" s="1">
        <v>1403.74</v>
      </c>
      <c r="D78" s="1">
        <v>3187.0</v>
      </c>
      <c r="E78" s="1">
        <v>127.0</v>
      </c>
      <c r="F78" s="1">
        <v>237.0</v>
      </c>
      <c r="G78" s="1">
        <v>234.0</v>
      </c>
      <c r="H78" s="1">
        <v>461.0</v>
      </c>
      <c r="I78" s="1">
        <v>429.0</v>
      </c>
      <c r="J78" s="1">
        <v>142.0</v>
      </c>
      <c r="K78" s="1">
        <v>464.0</v>
      </c>
      <c r="L78" s="1">
        <v>452.0</v>
      </c>
      <c r="M78" s="1">
        <v>125.0</v>
      </c>
      <c r="N78" s="1">
        <v>331.0</v>
      </c>
      <c r="O78" s="1">
        <v>120.0</v>
      </c>
      <c r="P78" s="1">
        <v>65.0</v>
      </c>
      <c r="Q78" s="1">
        <v>172.0</v>
      </c>
      <c r="R78" s="1" t="s">
        <v>215</v>
      </c>
      <c r="S78" s="4">
        <f t="shared" si="1"/>
        <v>4473719.38</v>
      </c>
      <c r="T78" s="5">
        <f t="shared" si="2"/>
        <v>0.00559704398</v>
      </c>
      <c r="U78" s="5">
        <f t="shared" si="3"/>
        <v>0.9494462638</v>
      </c>
      <c r="V78" s="4" t="str">
        <f t="shared" si="4"/>
        <v>B</v>
      </c>
      <c r="W78" s="5">
        <f t="shared" si="5"/>
        <v>265.5833333</v>
      </c>
      <c r="X78" s="5">
        <f t="shared" si="6"/>
        <v>147.4157716</v>
      </c>
      <c r="Y78" s="5">
        <f t="shared" si="7"/>
        <v>0.5550640914</v>
      </c>
      <c r="Z78" s="4" t="str">
        <f t="shared" si="8"/>
        <v>Z</v>
      </c>
      <c r="AA78" s="4" t="str">
        <f t="shared" si="9"/>
        <v>S</v>
      </c>
    </row>
    <row r="79" ht="15.75" customHeight="1">
      <c r="A79" s="1" t="s">
        <v>216</v>
      </c>
      <c r="B79" s="1" t="s">
        <v>46</v>
      </c>
      <c r="C79" s="1">
        <v>1498.95</v>
      </c>
      <c r="D79" s="1">
        <v>2943.0</v>
      </c>
      <c r="E79" s="1">
        <v>279.0</v>
      </c>
      <c r="F79" s="1">
        <v>494.0</v>
      </c>
      <c r="G79" s="1">
        <v>67.0</v>
      </c>
      <c r="H79" s="1">
        <v>437.0</v>
      </c>
      <c r="I79" s="1">
        <v>374.0</v>
      </c>
      <c r="J79" s="1">
        <v>175.0</v>
      </c>
      <c r="K79" s="1">
        <v>231.0</v>
      </c>
      <c r="L79" s="1">
        <v>198.0</v>
      </c>
      <c r="M79" s="1">
        <v>14.0</v>
      </c>
      <c r="N79" s="1">
        <v>301.0</v>
      </c>
      <c r="O79" s="1">
        <v>156.0</v>
      </c>
      <c r="P79" s="1">
        <v>217.0</v>
      </c>
      <c r="Q79" s="1">
        <v>117.0</v>
      </c>
      <c r="R79" s="1" t="s">
        <v>67</v>
      </c>
      <c r="S79" s="4">
        <f t="shared" si="1"/>
        <v>4411409.85</v>
      </c>
      <c r="T79" s="5">
        <f t="shared" si="2"/>
        <v>0.005519088894</v>
      </c>
      <c r="U79" s="5">
        <f t="shared" si="3"/>
        <v>0.9547459219</v>
      </c>
      <c r="V79" s="4" t="str">
        <f t="shared" si="4"/>
        <v>C</v>
      </c>
      <c r="W79" s="5">
        <f t="shared" si="5"/>
        <v>245.25</v>
      </c>
      <c r="X79" s="5">
        <f t="shared" si="6"/>
        <v>135.6626484</v>
      </c>
      <c r="Y79" s="5">
        <f t="shared" si="7"/>
        <v>0.5531606458</v>
      </c>
      <c r="Z79" s="4" t="str">
        <f t="shared" si="8"/>
        <v>Z</v>
      </c>
      <c r="AA79" s="4" t="str">
        <f t="shared" si="9"/>
        <v>S</v>
      </c>
    </row>
    <row r="80" ht="15.75" customHeight="1">
      <c r="A80" s="1" t="s">
        <v>217</v>
      </c>
      <c r="B80" s="1" t="s">
        <v>111</v>
      </c>
      <c r="C80" s="1">
        <v>1507.48</v>
      </c>
      <c r="D80" s="1">
        <v>2810.0</v>
      </c>
      <c r="E80" s="1">
        <v>74.0</v>
      </c>
      <c r="F80" s="1">
        <v>253.0</v>
      </c>
      <c r="G80" s="1">
        <v>110.0</v>
      </c>
      <c r="H80" s="1">
        <v>367.0</v>
      </c>
      <c r="I80" s="1">
        <v>11.0</v>
      </c>
      <c r="J80" s="1">
        <v>301.0</v>
      </c>
      <c r="K80" s="1">
        <v>13.0</v>
      </c>
      <c r="L80" s="1">
        <v>492.0</v>
      </c>
      <c r="M80" s="1">
        <v>141.0</v>
      </c>
      <c r="N80" s="1">
        <v>437.0</v>
      </c>
      <c r="O80" s="1">
        <v>316.0</v>
      </c>
      <c r="P80" s="1">
        <v>295.0</v>
      </c>
      <c r="Q80" s="1">
        <v>234.0</v>
      </c>
      <c r="R80" s="1" t="s">
        <v>218</v>
      </c>
      <c r="S80" s="4">
        <f t="shared" si="1"/>
        <v>4236018.8</v>
      </c>
      <c r="T80" s="5">
        <f t="shared" si="2"/>
        <v>0.005299658184</v>
      </c>
      <c r="U80" s="5">
        <f t="shared" si="3"/>
        <v>0.9593156932</v>
      </c>
      <c r="V80" s="4" t="str">
        <f t="shared" si="4"/>
        <v>C</v>
      </c>
      <c r="W80" s="5">
        <f t="shared" si="5"/>
        <v>234.1666667</v>
      </c>
      <c r="X80" s="5">
        <f t="shared" si="6"/>
        <v>155.1750803</v>
      </c>
      <c r="Y80" s="5">
        <f t="shared" si="7"/>
        <v>0.6626693822</v>
      </c>
      <c r="Z80" s="4" t="str">
        <f t="shared" si="8"/>
        <v>Z</v>
      </c>
      <c r="AA80" s="4" t="str">
        <f t="shared" si="9"/>
        <v>F</v>
      </c>
    </row>
    <row r="81" ht="15.75" customHeight="1">
      <c r="A81" s="1" t="s">
        <v>219</v>
      </c>
      <c r="B81" s="1" t="s">
        <v>220</v>
      </c>
      <c r="C81" s="1">
        <v>1233.16</v>
      </c>
      <c r="D81" s="1">
        <v>2962.0</v>
      </c>
      <c r="E81" s="1">
        <v>134.0</v>
      </c>
      <c r="F81" s="1">
        <v>190.0</v>
      </c>
      <c r="G81" s="1">
        <v>257.0</v>
      </c>
      <c r="H81" s="1">
        <v>427.0</v>
      </c>
      <c r="I81" s="1">
        <v>328.0</v>
      </c>
      <c r="J81" s="1">
        <v>14.0</v>
      </c>
      <c r="K81" s="1">
        <v>443.0</v>
      </c>
      <c r="L81" s="1">
        <v>80.0</v>
      </c>
      <c r="M81" s="1">
        <v>340.0</v>
      </c>
      <c r="N81" s="1">
        <v>258.0</v>
      </c>
      <c r="O81" s="1">
        <v>379.0</v>
      </c>
      <c r="P81" s="1">
        <v>112.0</v>
      </c>
      <c r="Q81" s="1">
        <v>209.0</v>
      </c>
      <c r="R81" s="1" t="s">
        <v>221</v>
      </c>
      <c r="S81" s="4">
        <f t="shared" si="1"/>
        <v>3652619.92</v>
      </c>
      <c r="T81" s="5">
        <f t="shared" si="2"/>
        <v>0.00456977128</v>
      </c>
      <c r="U81" s="5">
        <f t="shared" si="3"/>
        <v>0.9637149964</v>
      </c>
      <c r="V81" s="4" t="str">
        <f t="shared" si="4"/>
        <v>C</v>
      </c>
      <c r="W81" s="5">
        <f t="shared" si="5"/>
        <v>246.8333333</v>
      </c>
      <c r="X81" s="5">
        <f t="shared" si="6"/>
        <v>135.4288456</v>
      </c>
      <c r="Y81" s="5">
        <f t="shared" si="7"/>
        <v>0.5486651409</v>
      </c>
      <c r="Z81" s="4" t="str">
        <f t="shared" si="8"/>
        <v>Z</v>
      </c>
      <c r="AA81" s="4" t="str">
        <f t="shared" si="9"/>
        <v>F</v>
      </c>
    </row>
    <row r="82" ht="15.75" customHeight="1">
      <c r="A82" s="1" t="s">
        <v>222</v>
      </c>
      <c r="B82" s="1" t="s">
        <v>28</v>
      </c>
      <c r="C82" s="1">
        <v>1132.12</v>
      </c>
      <c r="D82" s="1">
        <v>3106.0</v>
      </c>
      <c r="E82" s="1">
        <v>19.0</v>
      </c>
      <c r="F82" s="1">
        <v>241.0</v>
      </c>
      <c r="G82" s="1">
        <v>485.0</v>
      </c>
      <c r="H82" s="1">
        <v>166.0</v>
      </c>
      <c r="I82" s="1">
        <v>243.0</v>
      </c>
      <c r="J82" s="1">
        <v>231.0</v>
      </c>
      <c r="K82" s="1">
        <v>169.0</v>
      </c>
      <c r="L82" s="1">
        <v>359.0</v>
      </c>
      <c r="M82" s="1">
        <v>358.0</v>
      </c>
      <c r="N82" s="1">
        <v>365.0</v>
      </c>
      <c r="O82" s="1">
        <v>343.0</v>
      </c>
      <c r="P82" s="1">
        <v>127.0</v>
      </c>
      <c r="Q82" s="1">
        <v>166.0</v>
      </c>
      <c r="R82" s="1" t="s">
        <v>223</v>
      </c>
      <c r="S82" s="4">
        <f t="shared" si="1"/>
        <v>3516364.72</v>
      </c>
      <c r="T82" s="5">
        <f t="shared" si="2"/>
        <v>0.004399303201</v>
      </c>
      <c r="U82" s="5">
        <f t="shared" si="3"/>
        <v>0.9678110586</v>
      </c>
      <c r="V82" s="4" t="str">
        <f t="shared" si="4"/>
        <v>C</v>
      </c>
      <c r="W82" s="5">
        <f t="shared" si="5"/>
        <v>258.8333333</v>
      </c>
      <c r="X82" s="5">
        <f t="shared" si="6"/>
        <v>123.2563949</v>
      </c>
      <c r="Y82" s="5">
        <f t="shared" si="7"/>
        <v>0.4761998516</v>
      </c>
      <c r="Z82" s="4" t="str">
        <f t="shared" si="8"/>
        <v>Y</v>
      </c>
      <c r="AA82" s="4" t="str">
        <f t="shared" si="9"/>
        <v>S</v>
      </c>
    </row>
    <row r="83" ht="15.75" customHeight="1">
      <c r="A83" s="1" t="s">
        <v>224</v>
      </c>
      <c r="B83" s="1" t="s">
        <v>81</v>
      </c>
      <c r="C83" s="1">
        <v>1137.59</v>
      </c>
      <c r="D83" s="1">
        <v>2878.0</v>
      </c>
      <c r="E83" s="1">
        <v>197.0</v>
      </c>
      <c r="F83" s="1">
        <v>113.0</v>
      </c>
      <c r="G83" s="1">
        <v>439.0</v>
      </c>
      <c r="H83" s="1">
        <v>299.0</v>
      </c>
      <c r="I83" s="1">
        <v>411.0</v>
      </c>
      <c r="J83" s="1">
        <v>69.0</v>
      </c>
      <c r="K83" s="1">
        <v>269.0</v>
      </c>
      <c r="L83" s="1">
        <v>20.0</v>
      </c>
      <c r="M83" s="1">
        <v>490.0</v>
      </c>
      <c r="N83" s="1">
        <v>176.0</v>
      </c>
      <c r="O83" s="1">
        <v>358.0</v>
      </c>
      <c r="P83" s="1">
        <v>37.0</v>
      </c>
      <c r="Q83" s="1">
        <v>129.0</v>
      </c>
      <c r="R83" s="1" t="s">
        <v>41</v>
      </c>
      <c r="S83" s="4">
        <f t="shared" si="1"/>
        <v>3273984.02</v>
      </c>
      <c r="T83" s="5">
        <f t="shared" si="2"/>
        <v>0.004096062134</v>
      </c>
      <c r="U83" s="5">
        <f t="shared" si="3"/>
        <v>0.9712928816</v>
      </c>
      <c r="V83" s="4" t="str">
        <f t="shared" si="4"/>
        <v>C</v>
      </c>
      <c r="W83" s="5">
        <f t="shared" si="5"/>
        <v>239.8333333</v>
      </c>
      <c r="X83" s="5">
        <f t="shared" si="6"/>
        <v>155.5933982</v>
      </c>
      <c r="Y83" s="5">
        <f t="shared" si="7"/>
        <v>0.648756351</v>
      </c>
      <c r="Z83" s="4" t="str">
        <f t="shared" si="8"/>
        <v>Z</v>
      </c>
      <c r="AA83" s="4" t="str">
        <f t="shared" si="9"/>
        <v>S</v>
      </c>
    </row>
    <row r="84" ht="15.75" customHeight="1">
      <c r="A84" s="1" t="s">
        <v>225</v>
      </c>
      <c r="B84" s="1" t="s">
        <v>96</v>
      </c>
      <c r="C84" s="1">
        <v>783.95</v>
      </c>
      <c r="D84" s="1">
        <v>3550.0</v>
      </c>
      <c r="E84" s="1">
        <v>483.0</v>
      </c>
      <c r="F84" s="1">
        <v>119.0</v>
      </c>
      <c r="G84" s="1">
        <v>318.0</v>
      </c>
      <c r="H84" s="1">
        <v>488.0</v>
      </c>
      <c r="I84" s="1">
        <v>274.0</v>
      </c>
      <c r="J84" s="1">
        <v>447.0</v>
      </c>
      <c r="K84" s="1">
        <v>268.0</v>
      </c>
      <c r="L84" s="1">
        <v>85.0</v>
      </c>
      <c r="M84" s="1">
        <v>328.0</v>
      </c>
      <c r="N84" s="1">
        <v>356.0</v>
      </c>
      <c r="O84" s="1">
        <v>36.0</v>
      </c>
      <c r="P84" s="1">
        <v>348.0</v>
      </c>
      <c r="Q84" s="1">
        <v>235.0</v>
      </c>
      <c r="R84" s="1" t="s">
        <v>226</v>
      </c>
      <c r="S84" s="4">
        <f t="shared" si="1"/>
        <v>2783022.5</v>
      </c>
      <c r="T84" s="5">
        <f t="shared" si="2"/>
        <v>0.003481823067</v>
      </c>
      <c r="U84" s="5">
        <f t="shared" si="3"/>
        <v>0.9743847822</v>
      </c>
      <c r="V84" s="4" t="str">
        <f t="shared" si="4"/>
        <v>C</v>
      </c>
      <c r="W84" s="5">
        <f t="shared" si="5"/>
        <v>295.8333333</v>
      </c>
      <c r="X84" s="5">
        <f t="shared" si="6"/>
        <v>143.5164528</v>
      </c>
      <c r="Y84" s="5">
        <f t="shared" si="7"/>
        <v>0.4851260376</v>
      </c>
      <c r="Z84" s="4" t="str">
        <f t="shared" si="8"/>
        <v>Y</v>
      </c>
      <c r="AA84" s="4" t="str">
        <f t="shared" si="9"/>
        <v>F</v>
      </c>
    </row>
    <row r="85" ht="15.75" customHeight="1">
      <c r="A85" s="1" t="s">
        <v>227</v>
      </c>
      <c r="B85" s="1" t="s">
        <v>228</v>
      </c>
      <c r="C85" s="1">
        <v>1391.53</v>
      </c>
      <c r="D85" s="1">
        <v>1776.0</v>
      </c>
      <c r="E85" s="1">
        <v>176.0</v>
      </c>
      <c r="F85" s="1">
        <v>102.0</v>
      </c>
      <c r="G85" s="1">
        <v>55.0</v>
      </c>
      <c r="H85" s="1">
        <v>304.0</v>
      </c>
      <c r="I85" s="1">
        <v>179.0</v>
      </c>
      <c r="J85" s="1">
        <v>198.0</v>
      </c>
      <c r="K85" s="1">
        <v>249.0</v>
      </c>
      <c r="L85" s="1">
        <v>265.0</v>
      </c>
      <c r="M85" s="1">
        <v>35.0</v>
      </c>
      <c r="N85" s="1">
        <v>69.0</v>
      </c>
      <c r="O85" s="1">
        <v>113.0</v>
      </c>
      <c r="P85" s="1">
        <v>31.0</v>
      </c>
      <c r="Q85" s="1">
        <v>130.0</v>
      </c>
      <c r="R85" s="1" t="s">
        <v>229</v>
      </c>
      <c r="S85" s="4">
        <f t="shared" si="1"/>
        <v>2471357.28</v>
      </c>
      <c r="T85" s="5">
        <f t="shared" si="2"/>
        <v>0.003091900545</v>
      </c>
      <c r="U85" s="5">
        <f t="shared" si="3"/>
        <v>0.9774523467</v>
      </c>
      <c r="V85" s="4" t="str">
        <f t="shared" si="4"/>
        <v>C</v>
      </c>
      <c r="W85" s="5">
        <f t="shared" si="5"/>
        <v>148</v>
      </c>
      <c r="X85" s="5">
        <f t="shared" si="6"/>
        <v>89.98147958</v>
      </c>
      <c r="Y85" s="5">
        <f t="shared" si="7"/>
        <v>0.6079829701</v>
      </c>
      <c r="Z85" s="4" t="str">
        <f t="shared" si="8"/>
        <v>Z</v>
      </c>
      <c r="AA85" s="4" t="str">
        <f t="shared" si="9"/>
        <v>S</v>
      </c>
    </row>
    <row r="86" ht="15.75" customHeight="1">
      <c r="A86" s="1" t="s">
        <v>230</v>
      </c>
      <c r="B86" s="1" t="s">
        <v>201</v>
      </c>
      <c r="C86" s="1">
        <v>607.81</v>
      </c>
      <c r="D86" s="1">
        <v>4034.0</v>
      </c>
      <c r="E86" s="1">
        <v>477.0</v>
      </c>
      <c r="F86" s="1">
        <v>469.0</v>
      </c>
      <c r="G86" s="1">
        <v>469.0</v>
      </c>
      <c r="H86" s="1">
        <v>317.0</v>
      </c>
      <c r="I86" s="1">
        <v>411.0</v>
      </c>
      <c r="J86" s="1">
        <v>43.0</v>
      </c>
      <c r="K86" s="1">
        <v>330.0</v>
      </c>
      <c r="L86" s="1">
        <v>468.0</v>
      </c>
      <c r="M86" s="1">
        <v>59.0</v>
      </c>
      <c r="N86" s="1">
        <v>402.0</v>
      </c>
      <c r="O86" s="1">
        <v>408.0</v>
      </c>
      <c r="P86" s="1">
        <v>181.0</v>
      </c>
      <c r="Q86" s="1">
        <v>228.0</v>
      </c>
      <c r="R86" s="1" t="s">
        <v>231</v>
      </c>
      <c r="S86" s="4">
        <f t="shared" si="1"/>
        <v>2451905.54</v>
      </c>
      <c r="T86" s="5">
        <f t="shared" si="2"/>
        <v>0.003067564587</v>
      </c>
      <c r="U86" s="5">
        <f t="shared" si="3"/>
        <v>0.9800998025</v>
      </c>
      <c r="V86" s="4" t="str">
        <f t="shared" si="4"/>
        <v>C</v>
      </c>
      <c r="W86" s="5">
        <f t="shared" si="5"/>
        <v>336.1666667</v>
      </c>
      <c r="X86" s="5">
        <f t="shared" si="6"/>
        <v>151.3405835</v>
      </c>
      <c r="Y86" s="5">
        <f t="shared" si="7"/>
        <v>0.4501950923</v>
      </c>
      <c r="Z86" s="4" t="str">
        <f t="shared" si="8"/>
        <v>Y</v>
      </c>
      <c r="AA86" s="4" t="str">
        <f t="shared" si="9"/>
        <v>F</v>
      </c>
    </row>
    <row r="87" ht="15.75" customHeight="1">
      <c r="A87" s="1" t="s">
        <v>232</v>
      </c>
      <c r="B87" s="1" t="s">
        <v>102</v>
      </c>
      <c r="C87" s="1">
        <v>822.43</v>
      </c>
      <c r="D87" s="1">
        <v>2573.0</v>
      </c>
      <c r="E87" s="1">
        <v>296.0</v>
      </c>
      <c r="F87" s="1">
        <v>367.0</v>
      </c>
      <c r="G87" s="1">
        <v>298.0</v>
      </c>
      <c r="H87" s="1">
        <v>23.0</v>
      </c>
      <c r="I87" s="1">
        <v>51.0</v>
      </c>
      <c r="J87" s="1">
        <v>303.0</v>
      </c>
      <c r="K87" s="1">
        <v>199.0</v>
      </c>
      <c r="L87" s="1">
        <v>223.0</v>
      </c>
      <c r="M87" s="1">
        <v>3.0</v>
      </c>
      <c r="N87" s="1">
        <v>279.0</v>
      </c>
      <c r="O87" s="1">
        <v>234.0</v>
      </c>
      <c r="P87" s="1">
        <v>297.0</v>
      </c>
      <c r="Q87" s="1">
        <v>24.0</v>
      </c>
      <c r="R87" s="1" t="s">
        <v>233</v>
      </c>
      <c r="S87" s="4">
        <f t="shared" si="1"/>
        <v>2116112.39</v>
      </c>
      <c r="T87" s="5">
        <f t="shared" si="2"/>
        <v>0.002647455754</v>
      </c>
      <c r="U87" s="5">
        <f t="shared" si="3"/>
        <v>0.9826764749</v>
      </c>
      <c r="V87" s="4" t="str">
        <f t="shared" si="4"/>
        <v>C</v>
      </c>
      <c r="W87" s="5">
        <f t="shared" si="5"/>
        <v>214.4166667</v>
      </c>
      <c r="X87" s="5">
        <f t="shared" si="6"/>
        <v>117.0822064</v>
      </c>
      <c r="Y87" s="5">
        <f t="shared" si="7"/>
        <v>0.5460499327</v>
      </c>
      <c r="Z87" s="4" t="str">
        <f t="shared" si="8"/>
        <v>Z</v>
      </c>
      <c r="AA87" s="4" t="str">
        <f t="shared" si="9"/>
        <v>N</v>
      </c>
    </row>
    <row r="88" ht="15.75" customHeight="1">
      <c r="A88" s="1" t="s">
        <v>234</v>
      </c>
      <c r="B88" s="1" t="s">
        <v>120</v>
      </c>
      <c r="C88" s="1">
        <v>645.42</v>
      </c>
      <c r="D88" s="1">
        <v>3191.0</v>
      </c>
      <c r="E88" s="1">
        <v>419.0</v>
      </c>
      <c r="F88" s="1">
        <v>354.0</v>
      </c>
      <c r="G88" s="1">
        <v>200.0</v>
      </c>
      <c r="H88" s="1">
        <v>398.0</v>
      </c>
      <c r="I88" s="1">
        <v>259.0</v>
      </c>
      <c r="J88" s="1">
        <v>34.0</v>
      </c>
      <c r="K88" s="1">
        <v>20.0</v>
      </c>
      <c r="L88" s="1">
        <v>378.0</v>
      </c>
      <c r="M88" s="1">
        <v>36.0</v>
      </c>
      <c r="N88" s="1">
        <v>477.0</v>
      </c>
      <c r="O88" s="1">
        <v>384.0</v>
      </c>
      <c r="P88" s="1">
        <v>232.0</v>
      </c>
      <c r="Q88" s="1">
        <v>55.0</v>
      </c>
      <c r="R88" s="1" t="s">
        <v>235</v>
      </c>
      <c r="S88" s="4">
        <f t="shared" si="1"/>
        <v>2059535.22</v>
      </c>
      <c r="T88" s="5">
        <f t="shared" si="2"/>
        <v>0.00257667239</v>
      </c>
      <c r="U88" s="5">
        <f t="shared" si="3"/>
        <v>0.9852324438</v>
      </c>
      <c r="V88" s="4" t="str">
        <f t="shared" si="4"/>
        <v>C</v>
      </c>
      <c r="W88" s="5">
        <f t="shared" si="5"/>
        <v>265.9166667</v>
      </c>
      <c r="X88" s="5">
        <f t="shared" si="6"/>
        <v>156.0894286</v>
      </c>
      <c r="Y88" s="5">
        <f t="shared" si="7"/>
        <v>0.5869862561</v>
      </c>
      <c r="Z88" s="4" t="str">
        <f t="shared" si="8"/>
        <v>Z</v>
      </c>
      <c r="AA88" s="4" t="str">
        <f t="shared" si="9"/>
        <v>N</v>
      </c>
    </row>
    <row r="89" ht="15.75" customHeight="1">
      <c r="A89" s="1" t="s">
        <v>236</v>
      </c>
      <c r="B89" s="1" t="s">
        <v>37</v>
      </c>
      <c r="C89" s="1">
        <v>723.95</v>
      </c>
      <c r="D89" s="1">
        <v>2822.0</v>
      </c>
      <c r="E89" s="1">
        <v>421.0</v>
      </c>
      <c r="F89" s="1">
        <v>103.0</v>
      </c>
      <c r="G89" s="1">
        <v>388.0</v>
      </c>
      <c r="H89" s="1">
        <v>142.0</v>
      </c>
      <c r="I89" s="1">
        <v>213.0</v>
      </c>
      <c r="J89" s="1">
        <v>43.0</v>
      </c>
      <c r="K89" s="1">
        <v>245.0</v>
      </c>
      <c r="L89" s="1">
        <v>338.0</v>
      </c>
      <c r="M89" s="1">
        <v>378.0</v>
      </c>
      <c r="N89" s="1">
        <v>147.0</v>
      </c>
      <c r="O89" s="1">
        <v>281.0</v>
      </c>
      <c r="P89" s="1">
        <v>123.0</v>
      </c>
      <c r="Q89" s="1">
        <v>237.0</v>
      </c>
      <c r="R89" s="1" t="s">
        <v>237</v>
      </c>
      <c r="S89" s="4">
        <f t="shared" si="1"/>
        <v>2042986.9</v>
      </c>
      <c r="T89" s="5">
        <f t="shared" si="2"/>
        <v>0.002555968884</v>
      </c>
      <c r="U89" s="5">
        <f t="shared" si="3"/>
        <v>0.9875593879</v>
      </c>
      <c r="V89" s="4" t="str">
        <f t="shared" si="4"/>
        <v>C</v>
      </c>
      <c r="W89" s="5">
        <f t="shared" si="5"/>
        <v>235.1666667</v>
      </c>
      <c r="X89" s="5">
        <f t="shared" si="6"/>
        <v>120.7572174</v>
      </c>
      <c r="Y89" s="5">
        <f t="shared" si="7"/>
        <v>0.5134963178</v>
      </c>
      <c r="Z89" s="4" t="str">
        <f t="shared" si="8"/>
        <v>Z</v>
      </c>
      <c r="AA89" s="4" t="str">
        <f t="shared" si="9"/>
        <v>F</v>
      </c>
    </row>
    <row r="90" ht="15.75" customHeight="1">
      <c r="A90" s="1" t="s">
        <v>238</v>
      </c>
      <c r="B90" s="1" t="s">
        <v>111</v>
      </c>
      <c r="C90" s="1">
        <v>817.91</v>
      </c>
      <c r="D90" s="1">
        <v>2274.0</v>
      </c>
      <c r="E90" s="1">
        <v>51.0</v>
      </c>
      <c r="F90" s="1">
        <v>86.0</v>
      </c>
      <c r="G90" s="1">
        <v>289.0</v>
      </c>
      <c r="H90" s="1">
        <v>209.0</v>
      </c>
      <c r="I90" s="1">
        <v>155.0</v>
      </c>
      <c r="J90" s="1">
        <v>353.0</v>
      </c>
      <c r="K90" s="1">
        <v>382.0</v>
      </c>
      <c r="L90" s="1">
        <v>122.0</v>
      </c>
      <c r="M90" s="1">
        <v>68.0</v>
      </c>
      <c r="N90" s="1">
        <v>432.0</v>
      </c>
      <c r="O90" s="1">
        <v>25.0</v>
      </c>
      <c r="P90" s="1">
        <v>102.0</v>
      </c>
      <c r="Q90" s="1">
        <v>89.0</v>
      </c>
      <c r="R90" s="1" t="s">
        <v>97</v>
      </c>
      <c r="S90" s="4">
        <f t="shared" si="1"/>
        <v>1859927.34</v>
      </c>
      <c r="T90" s="5">
        <f t="shared" si="2"/>
        <v>0.002326944146</v>
      </c>
      <c r="U90" s="5">
        <f t="shared" si="3"/>
        <v>0.9895187657</v>
      </c>
      <c r="V90" s="4" t="str">
        <f t="shared" si="4"/>
        <v>C</v>
      </c>
      <c r="W90" s="5">
        <f t="shared" si="5"/>
        <v>189.5</v>
      </c>
      <c r="X90" s="5">
        <f t="shared" si="6"/>
        <v>134.7822318</v>
      </c>
      <c r="Y90" s="5">
        <f t="shared" si="7"/>
        <v>0.7112518827</v>
      </c>
      <c r="Z90" s="4" t="str">
        <f t="shared" si="8"/>
        <v>Z</v>
      </c>
      <c r="AA90" s="4" t="str">
        <f t="shared" si="9"/>
        <v>S</v>
      </c>
    </row>
    <row r="91" ht="15.75" customHeight="1">
      <c r="A91" s="1" t="s">
        <v>239</v>
      </c>
      <c r="B91" s="1" t="s">
        <v>55</v>
      </c>
      <c r="C91" s="1">
        <v>442.41</v>
      </c>
      <c r="D91" s="1">
        <v>3540.0</v>
      </c>
      <c r="E91" s="1">
        <v>6.0</v>
      </c>
      <c r="F91" s="1">
        <v>427.0</v>
      </c>
      <c r="G91" s="1">
        <v>306.0</v>
      </c>
      <c r="H91" s="1">
        <v>322.0</v>
      </c>
      <c r="I91" s="1">
        <v>328.0</v>
      </c>
      <c r="J91" s="1">
        <v>367.0</v>
      </c>
      <c r="K91" s="1">
        <v>456.0</v>
      </c>
      <c r="L91" s="1">
        <v>81.0</v>
      </c>
      <c r="M91" s="1">
        <v>469.0</v>
      </c>
      <c r="N91" s="1">
        <v>8.0</v>
      </c>
      <c r="O91" s="1">
        <v>465.0</v>
      </c>
      <c r="P91" s="1">
        <v>305.0</v>
      </c>
      <c r="Q91" s="1">
        <v>211.0</v>
      </c>
      <c r="R91" s="1" t="s">
        <v>240</v>
      </c>
      <c r="S91" s="4">
        <f t="shared" si="1"/>
        <v>1566131.4</v>
      </c>
      <c r="T91" s="5">
        <f t="shared" si="2"/>
        <v>0.001959377775</v>
      </c>
      <c r="U91" s="5">
        <f t="shared" si="3"/>
        <v>0.9913777062</v>
      </c>
      <c r="V91" s="4" t="str">
        <f t="shared" si="4"/>
        <v>C</v>
      </c>
      <c r="W91" s="5">
        <f t="shared" si="5"/>
        <v>295</v>
      </c>
      <c r="X91" s="5">
        <f t="shared" si="6"/>
        <v>163.6637814</v>
      </c>
      <c r="Y91" s="5">
        <f t="shared" si="7"/>
        <v>0.5547924792</v>
      </c>
      <c r="Z91" s="4" t="str">
        <f t="shared" si="8"/>
        <v>Z</v>
      </c>
      <c r="AA91" s="4" t="str">
        <f t="shared" si="9"/>
        <v>F</v>
      </c>
    </row>
    <row r="92" ht="15.75" customHeight="1">
      <c r="A92" s="1" t="s">
        <v>241</v>
      </c>
      <c r="B92" s="1" t="s">
        <v>46</v>
      </c>
      <c r="C92" s="1">
        <v>524.48</v>
      </c>
      <c r="D92" s="1">
        <v>2833.0</v>
      </c>
      <c r="E92" s="1">
        <v>89.0</v>
      </c>
      <c r="F92" s="1">
        <v>122.0</v>
      </c>
      <c r="G92" s="1">
        <v>141.0</v>
      </c>
      <c r="H92" s="1">
        <v>25.0</v>
      </c>
      <c r="I92" s="1">
        <v>160.0</v>
      </c>
      <c r="J92" s="1">
        <v>356.0</v>
      </c>
      <c r="K92" s="1">
        <v>19.0</v>
      </c>
      <c r="L92" s="1">
        <v>360.0</v>
      </c>
      <c r="M92" s="1">
        <v>264.0</v>
      </c>
      <c r="N92" s="1">
        <v>473.0</v>
      </c>
      <c r="O92" s="1">
        <v>498.0</v>
      </c>
      <c r="P92" s="1">
        <v>326.0</v>
      </c>
      <c r="Q92" s="1">
        <v>3.0</v>
      </c>
      <c r="R92" s="1" t="s">
        <v>242</v>
      </c>
      <c r="S92" s="4">
        <f t="shared" si="1"/>
        <v>1485851.84</v>
      </c>
      <c r="T92" s="5">
        <f t="shared" si="2"/>
        <v>0.00185894049</v>
      </c>
      <c r="U92" s="5">
        <f t="shared" si="3"/>
        <v>0.9932257248</v>
      </c>
      <c r="V92" s="4" t="str">
        <f t="shared" si="4"/>
        <v>C</v>
      </c>
      <c r="W92" s="5">
        <f t="shared" si="5"/>
        <v>236.0833333</v>
      </c>
      <c r="X92" s="5">
        <f t="shared" si="6"/>
        <v>159.2924241</v>
      </c>
      <c r="Y92" s="5">
        <f t="shared" si="7"/>
        <v>0.6747296469</v>
      </c>
      <c r="Z92" s="4" t="str">
        <f t="shared" si="8"/>
        <v>Z</v>
      </c>
      <c r="AA92" s="4" t="str">
        <f t="shared" si="9"/>
        <v>N</v>
      </c>
    </row>
    <row r="93" ht="15.75" customHeight="1">
      <c r="A93" s="1" t="s">
        <v>243</v>
      </c>
      <c r="B93" s="1" t="s">
        <v>34</v>
      </c>
      <c r="C93" s="1">
        <v>495.18</v>
      </c>
      <c r="D93" s="1">
        <v>2983.0</v>
      </c>
      <c r="E93" s="1">
        <v>321.0</v>
      </c>
      <c r="F93" s="1">
        <v>136.0</v>
      </c>
      <c r="G93" s="1">
        <v>325.0</v>
      </c>
      <c r="H93" s="1">
        <v>172.0</v>
      </c>
      <c r="I93" s="1">
        <v>351.0</v>
      </c>
      <c r="J93" s="1">
        <v>463.0</v>
      </c>
      <c r="K93" s="1">
        <v>277.0</v>
      </c>
      <c r="L93" s="1">
        <v>207.0</v>
      </c>
      <c r="M93" s="1">
        <v>105.0</v>
      </c>
      <c r="N93" s="1">
        <v>131.0</v>
      </c>
      <c r="O93" s="1">
        <v>380.0</v>
      </c>
      <c r="P93" s="1">
        <v>115.0</v>
      </c>
      <c r="Q93" s="1">
        <v>209.0</v>
      </c>
      <c r="R93" s="1" t="s">
        <v>244</v>
      </c>
      <c r="S93" s="4">
        <f t="shared" si="1"/>
        <v>1477121.94</v>
      </c>
      <c r="T93" s="5">
        <f t="shared" si="2"/>
        <v>0.001848018564</v>
      </c>
      <c r="U93" s="5">
        <f t="shared" si="3"/>
        <v>0.9950690308</v>
      </c>
      <c r="V93" s="4" t="str">
        <f t="shared" si="4"/>
        <v>C</v>
      </c>
      <c r="W93" s="5">
        <f t="shared" si="5"/>
        <v>248.5833333</v>
      </c>
      <c r="X93" s="5">
        <f t="shared" si="6"/>
        <v>114.8117723</v>
      </c>
      <c r="Y93" s="5">
        <f t="shared" si="7"/>
        <v>0.4618643203</v>
      </c>
      <c r="Z93" s="4" t="str">
        <f t="shared" si="8"/>
        <v>Y</v>
      </c>
      <c r="AA93" s="4" t="str">
        <f t="shared" si="9"/>
        <v>F</v>
      </c>
    </row>
    <row r="94" ht="15.75" customHeight="1">
      <c r="A94" s="1" t="s">
        <v>245</v>
      </c>
      <c r="B94" s="1" t="s">
        <v>206</v>
      </c>
      <c r="C94" s="1">
        <v>550.17</v>
      </c>
      <c r="D94" s="1">
        <v>2678.0</v>
      </c>
      <c r="E94" s="1">
        <v>341.0</v>
      </c>
      <c r="F94" s="1">
        <v>249.0</v>
      </c>
      <c r="G94" s="1">
        <v>98.0</v>
      </c>
      <c r="H94" s="1">
        <v>248.0</v>
      </c>
      <c r="I94" s="1">
        <v>155.0</v>
      </c>
      <c r="J94" s="1">
        <v>424.0</v>
      </c>
      <c r="K94" s="1">
        <v>384.0</v>
      </c>
      <c r="L94" s="1">
        <v>123.0</v>
      </c>
      <c r="M94" s="1">
        <v>492.0</v>
      </c>
      <c r="N94" s="1">
        <v>27.0</v>
      </c>
      <c r="O94" s="1">
        <v>121.0</v>
      </c>
      <c r="P94" s="1">
        <v>16.0</v>
      </c>
      <c r="Q94" s="1">
        <v>148.0</v>
      </c>
      <c r="R94" s="1" t="s">
        <v>246</v>
      </c>
      <c r="S94" s="4">
        <f t="shared" si="1"/>
        <v>1473355.26</v>
      </c>
      <c r="T94" s="5">
        <f t="shared" si="2"/>
        <v>0.001843306092</v>
      </c>
      <c r="U94" s="5">
        <f t="shared" si="3"/>
        <v>0.9968123093</v>
      </c>
      <c r="V94" s="4" t="str">
        <f t="shared" si="4"/>
        <v>C</v>
      </c>
      <c r="W94" s="5">
        <f t="shared" si="5"/>
        <v>223.1666667</v>
      </c>
      <c r="X94" s="5">
        <f t="shared" si="6"/>
        <v>151.6096047</v>
      </c>
      <c r="Y94" s="5">
        <f t="shared" si="7"/>
        <v>0.6793559581</v>
      </c>
      <c r="Z94" s="4" t="str">
        <f t="shared" si="8"/>
        <v>Z</v>
      </c>
      <c r="AA94" s="4" t="str">
        <f t="shared" si="9"/>
        <v>S</v>
      </c>
    </row>
    <row r="95" ht="15.75" customHeight="1">
      <c r="A95" s="1" t="s">
        <v>247</v>
      </c>
      <c r="B95" s="1" t="s">
        <v>248</v>
      </c>
      <c r="C95" s="1">
        <v>429.93</v>
      </c>
      <c r="D95" s="1">
        <v>3241.0</v>
      </c>
      <c r="E95" s="1">
        <v>482.0</v>
      </c>
      <c r="F95" s="1">
        <v>470.0</v>
      </c>
      <c r="G95" s="1">
        <v>82.0</v>
      </c>
      <c r="H95" s="1">
        <v>4.0</v>
      </c>
      <c r="I95" s="1">
        <v>272.0</v>
      </c>
      <c r="J95" s="1">
        <v>289.0</v>
      </c>
      <c r="K95" s="1">
        <v>299.0</v>
      </c>
      <c r="L95" s="1">
        <v>199.0</v>
      </c>
      <c r="M95" s="1">
        <v>351.0</v>
      </c>
      <c r="N95" s="1">
        <v>212.0</v>
      </c>
      <c r="O95" s="1">
        <v>338.0</v>
      </c>
      <c r="P95" s="1">
        <v>243.0</v>
      </c>
      <c r="Q95" s="1">
        <v>116.0</v>
      </c>
      <c r="R95" s="1" t="s">
        <v>249</v>
      </c>
      <c r="S95" s="4">
        <f t="shared" si="1"/>
        <v>1393403.13</v>
      </c>
      <c r="T95" s="5">
        <f t="shared" si="2"/>
        <v>0.001743278453</v>
      </c>
      <c r="U95" s="5">
        <f t="shared" si="3"/>
        <v>0.9982094425</v>
      </c>
      <c r="V95" s="4" t="str">
        <f t="shared" si="4"/>
        <v>C</v>
      </c>
      <c r="W95" s="5">
        <f t="shared" si="5"/>
        <v>270.0833333</v>
      </c>
      <c r="X95" s="5">
        <f t="shared" si="6"/>
        <v>133.0942388</v>
      </c>
      <c r="Y95" s="5">
        <f t="shared" si="7"/>
        <v>0.4927895295</v>
      </c>
      <c r="Z95" s="4" t="str">
        <f t="shared" si="8"/>
        <v>Y</v>
      </c>
      <c r="AA95" s="4" t="str">
        <f t="shared" si="9"/>
        <v>S</v>
      </c>
    </row>
    <row r="96" ht="15.75" customHeight="1">
      <c r="A96" s="1" t="s">
        <v>250</v>
      </c>
      <c r="B96" s="1" t="s">
        <v>220</v>
      </c>
      <c r="C96" s="1">
        <v>342.24</v>
      </c>
      <c r="D96" s="1">
        <v>3263.0</v>
      </c>
      <c r="E96" s="1">
        <v>493.0</v>
      </c>
      <c r="F96" s="1">
        <v>295.0</v>
      </c>
      <c r="G96" s="1">
        <v>493.0</v>
      </c>
      <c r="H96" s="1">
        <v>128.0</v>
      </c>
      <c r="I96" s="1">
        <v>404.0</v>
      </c>
      <c r="J96" s="1">
        <v>298.0</v>
      </c>
      <c r="K96" s="1">
        <v>225.0</v>
      </c>
      <c r="L96" s="1">
        <v>97.0</v>
      </c>
      <c r="M96" s="1">
        <v>428.0</v>
      </c>
      <c r="N96" s="1">
        <v>142.0</v>
      </c>
      <c r="O96" s="1">
        <v>47.0</v>
      </c>
      <c r="P96" s="1">
        <v>213.0</v>
      </c>
      <c r="Q96" s="1">
        <v>61.0</v>
      </c>
      <c r="R96" s="1" t="s">
        <v>251</v>
      </c>
      <c r="S96" s="4">
        <f t="shared" si="1"/>
        <v>1116729.12</v>
      </c>
      <c r="T96" s="5">
        <f t="shared" si="2"/>
        <v>0.001397133228</v>
      </c>
      <c r="U96" s="5">
        <f t="shared" si="3"/>
        <v>0.9988122868</v>
      </c>
      <c r="V96" s="4" t="str">
        <f t="shared" si="4"/>
        <v>C</v>
      </c>
      <c r="W96" s="5">
        <f t="shared" si="5"/>
        <v>271.9166667</v>
      </c>
      <c r="X96" s="5">
        <f t="shared" si="6"/>
        <v>148.6671104</v>
      </c>
      <c r="Y96" s="5">
        <f t="shared" si="7"/>
        <v>0.5467377644</v>
      </c>
      <c r="Z96" s="4" t="str">
        <f t="shared" si="8"/>
        <v>Z</v>
      </c>
      <c r="AA96" s="4" t="str">
        <f t="shared" si="9"/>
        <v>N</v>
      </c>
    </row>
    <row r="97" ht="15.75" customHeight="1">
      <c r="A97" s="1" t="s">
        <v>252</v>
      </c>
      <c r="B97" s="1" t="s">
        <v>253</v>
      </c>
      <c r="C97" s="1">
        <v>141.68</v>
      </c>
      <c r="D97" s="1">
        <v>3401.0</v>
      </c>
      <c r="E97" s="1">
        <v>259.0</v>
      </c>
      <c r="F97" s="1">
        <v>155.0</v>
      </c>
      <c r="G97" s="1">
        <v>57.0</v>
      </c>
      <c r="H97" s="1">
        <v>347.0</v>
      </c>
      <c r="I97" s="1">
        <v>194.0</v>
      </c>
      <c r="J97" s="1">
        <v>291.0</v>
      </c>
      <c r="K97" s="1">
        <v>468.0</v>
      </c>
      <c r="L97" s="1">
        <v>359.0</v>
      </c>
      <c r="M97" s="1">
        <v>126.0</v>
      </c>
      <c r="N97" s="1">
        <v>494.0</v>
      </c>
      <c r="O97" s="1">
        <v>274.0</v>
      </c>
      <c r="P97" s="1">
        <v>377.0</v>
      </c>
      <c r="Q97" s="1">
        <v>10.0</v>
      </c>
      <c r="R97" s="1" t="s">
        <v>254</v>
      </c>
      <c r="S97" s="4">
        <f t="shared" si="1"/>
        <v>481853.68</v>
      </c>
      <c r="T97" s="5">
        <f t="shared" si="2"/>
        <v>0.0006028443025</v>
      </c>
      <c r="U97" s="5">
        <f t="shared" si="3"/>
        <v>0.9992395942</v>
      </c>
      <c r="V97" s="4" t="str">
        <f t="shared" si="4"/>
        <v>C</v>
      </c>
      <c r="W97" s="5">
        <f t="shared" si="5"/>
        <v>283.4166667</v>
      </c>
      <c r="X97" s="5">
        <f t="shared" si="6"/>
        <v>128.5181299</v>
      </c>
      <c r="Y97" s="5">
        <f t="shared" si="7"/>
        <v>0.4534600292</v>
      </c>
      <c r="Z97" s="4" t="str">
        <f t="shared" si="8"/>
        <v>Y</v>
      </c>
      <c r="AA97" s="4" t="str">
        <f t="shared" si="9"/>
        <v>N</v>
      </c>
    </row>
    <row r="98" ht="15.75" customHeight="1">
      <c r="A98" s="1" t="s">
        <v>255</v>
      </c>
      <c r="B98" s="1" t="s">
        <v>93</v>
      </c>
      <c r="C98" s="1">
        <v>116.41</v>
      </c>
      <c r="D98" s="1">
        <v>2934.0</v>
      </c>
      <c r="E98" s="1">
        <v>130.0</v>
      </c>
      <c r="F98" s="1">
        <v>285.0</v>
      </c>
      <c r="G98" s="1">
        <v>416.0</v>
      </c>
      <c r="H98" s="1">
        <v>48.0</v>
      </c>
      <c r="I98" s="1">
        <v>118.0</v>
      </c>
      <c r="J98" s="1">
        <v>8.0</v>
      </c>
      <c r="K98" s="1">
        <v>491.0</v>
      </c>
      <c r="L98" s="1">
        <v>326.0</v>
      </c>
      <c r="M98" s="1">
        <v>176.0</v>
      </c>
      <c r="N98" s="1">
        <v>411.0</v>
      </c>
      <c r="O98" s="1">
        <v>469.0</v>
      </c>
      <c r="P98" s="1">
        <v>56.0</v>
      </c>
      <c r="Q98" s="1">
        <v>71.0</v>
      </c>
      <c r="R98" s="1" t="s">
        <v>256</v>
      </c>
      <c r="S98" s="4">
        <f t="shared" si="1"/>
        <v>341546.94</v>
      </c>
      <c r="T98" s="5">
        <f t="shared" si="2"/>
        <v>0.000427307366</v>
      </c>
      <c r="U98" s="5">
        <f t="shared" si="3"/>
        <v>0.9996409315</v>
      </c>
      <c r="V98" s="4" t="str">
        <f t="shared" si="4"/>
        <v>C</v>
      </c>
      <c r="W98" s="5">
        <f t="shared" si="5"/>
        <v>244.5</v>
      </c>
      <c r="X98" s="5">
        <f t="shared" si="6"/>
        <v>168.4391582</v>
      </c>
      <c r="Y98" s="5">
        <f t="shared" si="7"/>
        <v>0.6889127123</v>
      </c>
      <c r="Z98" s="4" t="str">
        <f t="shared" si="8"/>
        <v>Z</v>
      </c>
      <c r="AA98" s="4" t="str">
        <f t="shared" si="9"/>
        <v>S</v>
      </c>
    </row>
    <row r="99" ht="15.75" customHeight="1">
      <c r="A99" s="1" t="s">
        <v>257</v>
      </c>
      <c r="B99" s="1" t="s">
        <v>93</v>
      </c>
      <c r="C99" s="1">
        <v>93.47</v>
      </c>
      <c r="D99" s="1">
        <v>3432.0</v>
      </c>
      <c r="E99" s="1">
        <v>359.0</v>
      </c>
      <c r="F99" s="1">
        <v>250.0</v>
      </c>
      <c r="G99" s="1">
        <v>203.0</v>
      </c>
      <c r="H99" s="1">
        <v>306.0</v>
      </c>
      <c r="I99" s="1">
        <v>159.0</v>
      </c>
      <c r="J99" s="1">
        <v>393.0</v>
      </c>
      <c r="K99" s="1">
        <v>471.0</v>
      </c>
      <c r="L99" s="1">
        <v>367.0</v>
      </c>
      <c r="M99" s="1">
        <v>479.0</v>
      </c>
      <c r="N99" s="1">
        <v>265.0</v>
      </c>
      <c r="O99" s="1">
        <v>109.0</v>
      </c>
      <c r="P99" s="1">
        <v>71.0</v>
      </c>
      <c r="Q99" s="1">
        <v>6.0</v>
      </c>
      <c r="R99" s="1" t="s">
        <v>258</v>
      </c>
      <c r="S99" s="4">
        <f t="shared" si="1"/>
        <v>320789.04</v>
      </c>
      <c r="T99" s="5">
        <f t="shared" si="2"/>
        <v>0.0004013372795</v>
      </c>
      <c r="U99" s="5">
        <f t="shared" si="3"/>
        <v>0.9998480386</v>
      </c>
      <c r="V99" s="4" t="str">
        <f t="shared" si="4"/>
        <v>C</v>
      </c>
      <c r="W99" s="5">
        <f t="shared" si="5"/>
        <v>286</v>
      </c>
      <c r="X99" s="5">
        <f t="shared" si="6"/>
        <v>128.2971811</v>
      </c>
      <c r="Y99" s="5">
        <f t="shared" si="7"/>
        <v>0.4485915422</v>
      </c>
      <c r="Z99" s="4" t="str">
        <f t="shared" si="8"/>
        <v>Y</v>
      </c>
      <c r="AA99" s="4" t="str">
        <f t="shared" si="9"/>
        <v>N</v>
      </c>
    </row>
    <row r="100" ht="15.75" customHeight="1">
      <c r="A100" s="1" t="s">
        <v>259</v>
      </c>
      <c r="B100" s="1" t="s">
        <v>206</v>
      </c>
      <c r="C100" s="1">
        <v>62.21</v>
      </c>
      <c r="D100" s="1">
        <v>2661.0</v>
      </c>
      <c r="E100" s="1">
        <v>195.0</v>
      </c>
      <c r="F100" s="1">
        <v>108.0</v>
      </c>
      <c r="G100" s="1">
        <v>452.0</v>
      </c>
      <c r="H100" s="1">
        <v>200.0</v>
      </c>
      <c r="I100" s="1">
        <v>56.0</v>
      </c>
      <c r="J100" s="1">
        <v>269.0</v>
      </c>
      <c r="K100" s="1">
        <v>421.0</v>
      </c>
      <c r="L100" s="1">
        <v>279.0</v>
      </c>
      <c r="M100" s="1">
        <v>96.0</v>
      </c>
      <c r="N100" s="1">
        <v>74.0</v>
      </c>
      <c r="O100" s="1">
        <v>292.0</v>
      </c>
      <c r="P100" s="1">
        <v>219.0</v>
      </c>
      <c r="Q100" s="1">
        <v>164.0</v>
      </c>
      <c r="R100" s="1" t="s">
        <v>260</v>
      </c>
      <c r="S100" s="4">
        <f t="shared" si="1"/>
        <v>165540.81</v>
      </c>
      <c r="T100" s="5">
        <f t="shared" si="2"/>
        <v>0.0002071071329</v>
      </c>
      <c r="U100" s="5">
        <f t="shared" si="3"/>
        <v>1</v>
      </c>
      <c r="V100" s="4" t="str">
        <f t="shared" si="4"/>
        <v>C</v>
      </c>
      <c r="W100" s="5">
        <f t="shared" si="5"/>
        <v>221.75</v>
      </c>
      <c r="X100" s="5">
        <f t="shared" si="6"/>
        <v>123.29242</v>
      </c>
      <c r="Y100" s="5">
        <f t="shared" si="7"/>
        <v>0.5559973845</v>
      </c>
      <c r="Z100" s="4" t="str">
        <f t="shared" si="8"/>
        <v>Z</v>
      </c>
      <c r="AA100" s="4" t="str">
        <f t="shared" si="9"/>
        <v>S</v>
      </c>
    </row>
    <row r="101" ht="15.75" customHeight="1">
      <c r="A101" s="1" t="s">
        <v>261</v>
      </c>
      <c r="B101" s="1" t="s">
        <v>102</v>
      </c>
      <c r="C101" s="1">
        <v>39.85</v>
      </c>
      <c r="D101" s="1">
        <v>3048.0</v>
      </c>
      <c r="E101" s="1">
        <v>376.0</v>
      </c>
      <c r="F101" s="1">
        <v>297.0</v>
      </c>
      <c r="G101" s="1">
        <v>219.0</v>
      </c>
      <c r="H101" s="1">
        <v>318.0</v>
      </c>
      <c r="I101" s="1">
        <v>271.0</v>
      </c>
      <c r="J101" s="1">
        <v>253.0</v>
      </c>
      <c r="K101" s="1">
        <v>228.0</v>
      </c>
      <c r="L101" s="1">
        <v>327.0</v>
      </c>
      <c r="M101" s="1">
        <v>230.0</v>
      </c>
      <c r="N101" s="1">
        <v>56.0</v>
      </c>
      <c r="O101" s="1">
        <v>462.0</v>
      </c>
      <c r="P101" s="1">
        <v>11.0</v>
      </c>
      <c r="Q101" s="1">
        <v>49.0</v>
      </c>
      <c r="R101" s="1" t="s">
        <v>262</v>
      </c>
      <c r="S101" s="4">
        <f t="shared" si="1"/>
        <v>121462.8</v>
      </c>
      <c r="T101" s="5">
        <f t="shared" si="2"/>
        <v>0.000151961394</v>
      </c>
      <c r="U101" s="5">
        <f t="shared" si="3"/>
        <v>1</v>
      </c>
      <c r="V101" s="4" t="str">
        <f t="shared" si="4"/>
        <v>C</v>
      </c>
      <c r="W101" s="5">
        <f t="shared" si="5"/>
        <v>254</v>
      </c>
      <c r="X101" s="5">
        <f t="shared" si="6"/>
        <v>119.1784376</v>
      </c>
      <c r="Y101" s="5">
        <f t="shared" si="7"/>
        <v>0.4692064474</v>
      </c>
      <c r="Z101" s="4" t="str">
        <f t="shared" si="8"/>
        <v>Y</v>
      </c>
      <c r="AA101" s="4" t="str">
        <f t="shared" si="9"/>
        <v>N</v>
      </c>
    </row>
    <row r="102" ht="15.75" customHeight="1">
      <c r="T102" s="5"/>
      <c r="W102" s="5"/>
      <c r="X102" s="5"/>
      <c r="Y102" s="5"/>
    </row>
    <row r="103" ht="15.75" customHeight="1">
      <c r="S103" s="4">
        <f>SUM(S2:S101)</f>
        <v>799300380</v>
      </c>
      <c r="T103" s="5"/>
      <c r="W103" s="5"/>
      <c r="X103" s="5"/>
      <c r="Y103" s="5"/>
    </row>
    <row r="104" ht="15.75" customHeight="1">
      <c r="T104" s="5"/>
      <c r="W104" s="5"/>
      <c r="X104" s="5"/>
      <c r="Y104" s="5"/>
    </row>
    <row r="105" ht="15.75" customHeight="1">
      <c r="P105" s="2" t="s">
        <v>263</v>
      </c>
      <c r="Q105" s="4">
        <f>_xlfn.PERCENTILE.INC(Q2:Q101,0.75)</f>
        <v>200</v>
      </c>
      <c r="T105" s="5"/>
      <c r="W105" s="5"/>
      <c r="X105" s="5"/>
      <c r="Y105" s="5"/>
    </row>
    <row r="106" ht="15.75" customHeight="1">
      <c r="P106" s="2" t="s">
        <v>264</v>
      </c>
      <c r="Q106" s="4">
        <f>_xlfn.PERCENTILE.INC(Q3:Q102,0.25)</f>
        <v>68.5</v>
      </c>
      <c r="T106" s="5"/>
      <c r="W106" s="5"/>
      <c r="X106" s="5"/>
      <c r="Y106" s="5"/>
    </row>
    <row r="107" ht="15.75" customHeight="1">
      <c r="T107" s="5"/>
      <c r="W107" s="5"/>
      <c r="X107" s="5"/>
      <c r="Y107" s="5"/>
    </row>
    <row r="108" ht="15.75" customHeight="1">
      <c r="T108" s="5"/>
      <c r="W108" s="5"/>
      <c r="X108" s="5"/>
      <c r="Y108" s="5"/>
    </row>
    <row r="109" ht="15.75" customHeight="1">
      <c r="T109" s="5"/>
      <c r="W109" s="5"/>
      <c r="X109" s="5"/>
      <c r="Y109" s="5"/>
    </row>
    <row r="110" ht="15.75" customHeight="1">
      <c r="T110" s="5"/>
      <c r="W110" s="5"/>
      <c r="X110" s="5"/>
      <c r="Y110" s="5"/>
    </row>
    <row r="111" ht="15.75" customHeight="1">
      <c r="T111" s="5"/>
      <c r="W111" s="5"/>
      <c r="X111" s="5"/>
      <c r="Y111" s="5"/>
    </row>
    <row r="112" ht="15.75" customHeight="1">
      <c r="T112" s="5"/>
      <c r="W112" s="5"/>
      <c r="X112" s="5"/>
      <c r="Y112" s="5"/>
    </row>
    <row r="113" ht="15.75" customHeight="1">
      <c r="T113" s="5"/>
      <c r="W113" s="5"/>
      <c r="X113" s="5"/>
      <c r="Y113" s="5"/>
    </row>
    <row r="114" ht="15.75" customHeight="1">
      <c r="T114" s="5"/>
      <c r="W114" s="5"/>
      <c r="X114" s="5"/>
      <c r="Y114" s="5"/>
    </row>
    <row r="115" ht="15.75" customHeight="1">
      <c r="T115" s="5"/>
      <c r="W115" s="5"/>
      <c r="X115" s="5"/>
      <c r="Y115" s="5"/>
    </row>
    <row r="116" ht="15.75" customHeight="1">
      <c r="T116" s="5"/>
      <c r="W116" s="5"/>
      <c r="X116" s="5"/>
      <c r="Y116" s="5"/>
    </row>
    <row r="117" ht="15.75" customHeight="1">
      <c r="T117" s="5"/>
      <c r="W117" s="5"/>
      <c r="X117" s="5"/>
      <c r="Y117" s="5"/>
    </row>
    <row r="118" ht="15.75" customHeight="1">
      <c r="T118" s="5"/>
      <c r="W118" s="5"/>
      <c r="X118" s="5"/>
      <c r="Y118" s="5"/>
    </row>
    <row r="119" ht="15.75" customHeight="1">
      <c r="T119" s="5"/>
      <c r="W119" s="5"/>
      <c r="X119" s="5"/>
      <c r="Y119" s="5"/>
    </row>
    <row r="120" ht="15.75" customHeight="1">
      <c r="T120" s="5"/>
      <c r="W120" s="5"/>
      <c r="X120" s="5"/>
      <c r="Y120" s="5"/>
    </row>
    <row r="121" ht="15.75" customHeight="1">
      <c r="T121" s="5"/>
      <c r="W121" s="5"/>
      <c r="X121" s="5"/>
      <c r="Y121" s="5"/>
    </row>
    <row r="122" ht="15.75" customHeight="1">
      <c r="T122" s="5"/>
      <c r="W122" s="5"/>
      <c r="X122" s="5"/>
      <c r="Y122" s="5"/>
    </row>
    <row r="123" ht="15.75" customHeight="1">
      <c r="T123" s="5"/>
      <c r="W123" s="5"/>
      <c r="X123" s="5"/>
      <c r="Y123" s="5"/>
    </row>
    <row r="124" ht="15.75" customHeight="1">
      <c r="T124" s="5"/>
      <c r="W124" s="5"/>
      <c r="X124" s="5"/>
      <c r="Y124" s="5"/>
    </row>
    <row r="125" ht="15.75" customHeight="1">
      <c r="T125" s="5"/>
      <c r="W125" s="5"/>
      <c r="X125" s="5"/>
      <c r="Y125" s="5"/>
    </row>
    <row r="126" ht="15.75" customHeight="1">
      <c r="T126" s="5"/>
      <c r="W126" s="5"/>
      <c r="X126" s="5"/>
      <c r="Y126" s="5"/>
    </row>
    <row r="127" ht="15.75" customHeight="1">
      <c r="T127" s="5"/>
      <c r="W127" s="5"/>
      <c r="X127" s="5"/>
      <c r="Y127" s="5"/>
    </row>
    <row r="128" ht="15.75" customHeight="1">
      <c r="T128" s="5"/>
      <c r="W128" s="5"/>
      <c r="X128" s="5"/>
      <c r="Y128" s="5"/>
    </row>
    <row r="129" ht="15.75" customHeight="1">
      <c r="T129" s="5"/>
      <c r="W129" s="5"/>
      <c r="X129" s="5"/>
      <c r="Y129" s="5"/>
    </row>
    <row r="130" ht="15.75" customHeight="1">
      <c r="T130" s="5"/>
      <c r="W130" s="5"/>
      <c r="X130" s="5"/>
      <c r="Y130" s="5"/>
    </row>
    <row r="131" ht="15.75" customHeight="1">
      <c r="T131" s="5"/>
      <c r="W131" s="5"/>
      <c r="X131" s="5"/>
      <c r="Y131" s="5"/>
    </row>
    <row r="132" ht="15.75" customHeight="1">
      <c r="T132" s="5"/>
      <c r="W132" s="5"/>
      <c r="X132" s="5"/>
      <c r="Y132" s="5"/>
    </row>
    <row r="133" ht="15.75" customHeight="1">
      <c r="T133" s="5"/>
      <c r="W133" s="5"/>
      <c r="X133" s="5"/>
      <c r="Y133" s="5"/>
    </row>
    <row r="134" ht="15.75" customHeight="1">
      <c r="T134" s="5"/>
      <c r="W134" s="5"/>
      <c r="X134" s="5"/>
      <c r="Y134" s="5"/>
    </row>
    <row r="135" ht="15.75" customHeight="1">
      <c r="T135" s="5"/>
      <c r="W135" s="5"/>
      <c r="X135" s="5"/>
      <c r="Y135" s="5"/>
    </row>
    <row r="136" ht="15.75" customHeight="1">
      <c r="T136" s="5"/>
      <c r="W136" s="5"/>
      <c r="X136" s="5"/>
      <c r="Y136" s="5"/>
    </row>
    <row r="137" ht="15.75" customHeight="1">
      <c r="T137" s="5"/>
      <c r="W137" s="5"/>
      <c r="X137" s="5"/>
      <c r="Y137" s="5"/>
    </row>
    <row r="138" ht="15.75" customHeight="1">
      <c r="T138" s="5"/>
      <c r="W138" s="5"/>
      <c r="X138" s="5"/>
      <c r="Y138" s="5"/>
    </row>
    <row r="139" ht="15.75" customHeight="1">
      <c r="T139" s="5"/>
      <c r="W139" s="5"/>
      <c r="X139" s="5"/>
      <c r="Y139" s="5"/>
    </row>
    <row r="140" ht="15.75" customHeight="1">
      <c r="T140" s="5"/>
      <c r="W140" s="5"/>
      <c r="X140" s="5"/>
      <c r="Y140" s="5"/>
    </row>
    <row r="141" ht="15.75" customHeight="1">
      <c r="T141" s="5"/>
      <c r="W141" s="5"/>
      <c r="X141" s="5"/>
      <c r="Y141" s="5"/>
    </row>
    <row r="142" ht="15.75" customHeight="1">
      <c r="T142" s="5"/>
      <c r="W142" s="5"/>
      <c r="X142" s="5"/>
      <c r="Y142" s="5"/>
    </row>
    <row r="143" ht="15.75" customHeight="1">
      <c r="T143" s="5"/>
      <c r="W143" s="5"/>
      <c r="X143" s="5"/>
      <c r="Y143" s="5"/>
    </row>
    <row r="144" ht="15.75" customHeight="1">
      <c r="T144" s="5"/>
      <c r="W144" s="5"/>
      <c r="X144" s="5"/>
      <c r="Y144" s="5"/>
    </row>
    <row r="145" ht="15.75" customHeight="1">
      <c r="T145" s="5"/>
      <c r="W145" s="5"/>
      <c r="X145" s="5"/>
      <c r="Y145" s="5"/>
    </row>
    <row r="146" ht="15.75" customHeight="1">
      <c r="T146" s="5"/>
      <c r="W146" s="5"/>
      <c r="X146" s="5"/>
      <c r="Y146" s="5"/>
    </row>
    <row r="147" ht="15.75" customHeight="1">
      <c r="T147" s="5"/>
      <c r="W147" s="5"/>
      <c r="X147" s="5"/>
      <c r="Y147" s="5"/>
    </row>
    <row r="148" ht="15.75" customHeight="1">
      <c r="T148" s="5"/>
      <c r="W148" s="5"/>
      <c r="X148" s="5"/>
      <c r="Y148" s="5"/>
    </row>
    <row r="149" ht="15.75" customHeight="1">
      <c r="T149" s="5"/>
      <c r="W149" s="5"/>
      <c r="X149" s="5"/>
      <c r="Y149" s="5"/>
    </row>
    <row r="150" ht="15.75" customHeight="1">
      <c r="T150" s="5"/>
      <c r="W150" s="5"/>
      <c r="X150" s="5"/>
      <c r="Y150" s="5"/>
    </row>
    <row r="151" ht="15.75" customHeight="1">
      <c r="T151" s="5"/>
      <c r="W151" s="5"/>
      <c r="X151" s="5"/>
      <c r="Y151" s="5"/>
    </row>
    <row r="152" ht="15.75" customHeight="1">
      <c r="T152" s="5"/>
      <c r="W152" s="5"/>
      <c r="X152" s="5"/>
      <c r="Y152" s="5"/>
    </row>
    <row r="153" ht="15.75" customHeight="1">
      <c r="T153" s="5"/>
      <c r="W153" s="5"/>
      <c r="X153" s="5"/>
      <c r="Y153" s="5"/>
    </row>
    <row r="154" ht="15.75" customHeight="1">
      <c r="T154" s="5"/>
      <c r="W154" s="5"/>
      <c r="X154" s="5"/>
      <c r="Y154" s="5"/>
    </row>
    <row r="155" ht="15.75" customHeight="1">
      <c r="T155" s="5"/>
      <c r="W155" s="5"/>
      <c r="X155" s="5"/>
      <c r="Y155" s="5"/>
    </row>
    <row r="156" ht="15.75" customHeight="1">
      <c r="T156" s="5"/>
      <c r="W156" s="5"/>
      <c r="X156" s="5"/>
      <c r="Y156" s="5"/>
    </row>
    <row r="157" ht="15.75" customHeight="1">
      <c r="T157" s="5"/>
      <c r="W157" s="5"/>
      <c r="X157" s="5"/>
      <c r="Y157" s="5"/>
    </row>
    <row r="158" ht="15.75" customHeight="1">
      <c r="T158" s="5"/>
      <c r="W158" s="5"/>
      <c r="X158" s="5"/>
      <c r="Y158" s="5"/>
    </row>
    <row r="159" ht="15.75" customHeight="1">
      <c r="T159" s="5"/>
      <c r="W159" s="5"/>
      <c r="X159" s="5"/>
      <c r="Y159" s="5"/>
    </row>
    <row r="160" ht="15.75" customHeight="1">
      <c r="T160" s="5"/>
      <c r="W160" s="5"/>
      <c r="X160" s="5"/>
      <c r="Y160" s="5"/>
    </row>
    <row r="161" ht="15.75" customHeight="1">
      <c r="T161" s="5"/>
      <c r="W161" s="5"/>
      <c r="X161" s="5"/>
      <c r="Y161" s="5"/>
    </row>
    <row r="162" ht="15.75" customHeight="1">
      <c r="T162" s="5"/>
      <c r="W162" s="5"/>
      <c r="X162" s="5"/>
      <c r="Y162" s="5"/>
    </row>
    <row r="163" ht="15.75" customHeight="1">
      <c r="T163" s="5"/>
      <c r="W163" s="5"/>
      <c r="X163" s="5"/>
      <c r="Y163" s="5"/>
    </row>
    <row r="164" ht="15.75" customHeight="1">
      <c r="T164" s="5"/>
      <c r="W164" s="5"/>
      <c r="X164" s="5"/>
      <c r="Y164" s="5"/>
    </row>
    <row r="165" ht="15.75" customHeight="1">
      <c r="T165" s="5"/>
      <c r="W165" s="5"/>
      <c r="X165" s="5"/>
      <c r="Y165" s="5"/>
    </row>
    <row r="166" ht="15.75" customHeight="1">
      <c r="T166" s="5"/>
      <c r="W166" s="5"/>
      <c r="X166" s="5"/>
      <c r="Y166" s="5"/>
    </row>
    <row r="167" ht="15.75" customHeight="1">
      <c r="T167" s="5"/>
      <c r="W167" s="5"/>
      <c r="X167" s="5"/>
      <c r="Y167" s="5"/>
    </row>
    <row r="168" ht="15.75" customHeight="1">
      <c r="T168" s="5"/>
      <c r="W168" s="5"/>
      <c r="X168" s="5"/>
      <c r="Y168" s="5"/>
    </row>
    <row r="169" ht="15.75" customHeight="1">
      <c r="T169" s="5"/>
      <c r="W169" s="5"/>
      <c r="X169" s="5"/>
      <c r="Y169" s="5"/>
    </row>
    <row r="170" ht="15.75" customHeight="1">
      <c r="T170" s="5"/>
      <c r="W170" s="5"/>
      <c r="X170" s="5"/>
      <c r="Y170" s="5"/>
    </row>
    <row r="171" ht="15.75" customHeight="1">
      <c r="T171" s="5"/>
      <c r="W171" s="5"/>
      <c r="X171" s="5"/>
      <c r="Y171" s="5"/>
    </row>
    <row r="172" ht="15.75" customHeight="1">
      <c r="T172" s="5"/>
      <c r="W172" s="5"/>
      <c r="X172" s="5"/>
      <c r="Y172" s="5"/>
    </row>
    <row r="173" ht="15.75" customHeight="1">
      <c r="T173" s="5"/>
      <c r="W173" s="5"/>
      <c r="X173" s="5"/>
      <c r="Y173" s="5"/>
    </row>
    <row r="174" ht="15.75" customHeight="1">
      <c r="T174" s="5"/>
      <c r="W174" s="5"/>
      <c r="X174" s="5"/>
      <c r="Y174" s="5"/>
    </row>
    <row r="175" ht="15.75" customHeight="1">
      <c r="T175" s="5"/>
      <c r="W175" s="5"/>
      <c r="X175" s="5"/>
      <c r="Y175" s="5"/>
    </row>
    <row r="176" ht="15.75" customHeight="1">
      <c r="T176" s="5"/>
      <c r="W176" s="5"/>
      <c r="X176" s="5"/>
      <c r="Y176" s="5"/>
    </row>
    <row r="177" ht="15.75" customHeight="1">
      <c r="T177" s="5"/>
      <c r="W177" s="5"/>
      <c r="X177" s="5"/>
      <c r="Y177" s="5"/>
    </row>
    <row r="178" ht="15.75" customHeight="1">
      <c r="T178" s="5"/>
      <c r="W178" s="5"/>
      <c r="X178" s="5"/>
      <c r="Y178" s="5"/>
    </row>
    <row r="179" ht="15.75" customHeight="1">
      <c r="T179" s="5"/>
      <c r="W179" s="5"/>
      <c r="X179" s="5"/>
      <c r="Y179" s="5"/>
    </row>
    <row r="180" ht="15.75" customHeight="1">
      <c r="T180" s="5"/>
      <c r="W180" s="5"/>
      <c r="X180" s="5"/>
      <c r="Y180" s="5"/>
    </row>
    <row r="181" ht="15.75" customHeight="1">
      <c r="T181" s="5"/>
      <c r="W181" s="5"/>
      <c r="X181" s="5"/>
      <c r="Y181" s="5"/>
    </row>
    <row r="182" ht="15.75" customHeight="1">
      <c r="T182" s="5"/>
      <c r="W182" s="5"/>
      <c r="X182" s="5"/>
      <c r="Y182" s="5"/>
    </row>
    <row r="183" ht="15.75" customHeight="1">
      <c r="T183" s="5"/>
      <c r="W183" s="5"/>
      <c r="X183" s="5"/>
      <c r="Y183" s="5"/>
    </row>
    <row r="184" ht="15.75" customHeight="1">
      <c r="T184" s="5"/>
      <c r="W184" s="5"/>
      <c r="X184" s="5"/>
      <c r="Y184" s="5"/>
    </row>
    <row r="185" ht="15.75" customHeight="1">
      <c r="T185" s="5"/>
      <c r="W185" s="5"/>
      <c r="X185" s="5"/>
      <c r="Y185" s="5"/>
    </row>
    <row r="186" ht="15.75" customHeight="1">
      <c r="T186" s="5"/>
      <c r="W186" s="5"/>
      <c r="X186" s="5"/>
      <c r="Y186" s="5"/>
    </row>
    <row r="187" ht="15.75" customHeight="1">
      <c r="T187" s="5"/>
      <c r="W187" s="5"/>
      <c r="X187" s="5"/>
      <c r="Y187" s="5"/>
    </row>
    <row r="188" ht="15.75" customHeight="1">
      <c r="T188" s="5"/>
      <c r="W188" s="5"/>
      <c r="X188" s="5"/>
      <c r="Y188" s="5"/>
    </row>
    <row r="189" ht="15.75" customHeight="1">
      <c r="T189" s="5"/>
      <c r="W189" s="5"/>
      <c r="X189" s="5"/>
      <c r="Y189" s="5"/>
    </row>
    <row r="190" ht="15.75" customHeight="1">
      <c r="T190" s="5"/>
      <c r="W190" s="5"/>
      <c r="X190" s="5"/>
      <c r="Y190" s="5"/>
    </row>
    <row r="191" ht="15.75" customHeight="1">
      <c r="T191" s="5"/>
      <c r="W191" s="5"/>
      <c r="X191" s="5"/>
      <c r="Y191" s="5"/>
    </row>
    <row r="192" ht="15.75" customHeight="1">
      <c r="T192" s="5"/>
      <c r="W192" s="5"/>
      <c r="X192" s="5"/>
      <c r="Y192" s="5"/>
    </row>
    <row r="193" ht="15.75" customHeight="1">
      <c r="T193" s="5"/>
      <c r="W193" s="5"/>
      <c r="X193" s="5"/>
      <c r="Y193" s="5"/>
    </row>
    <row r="194" ht="15.75" customHeight="1">
      <c r="T194" s="5"/>
      <c r="W194" s="5"/>
      <c r="X194" s="5"/>
      <c r="Y194" s="5"/>
    </row>
    <row r="195" ht="15.75" customHeight="1">
      <c r="T195" s="5"/>
      <c r="W195" s="5"/>
      <c r="X195" s="5"/>
      <c r="Y195" s="5"/>
    </row>
    <row r="196" ht="15.75" customHeight="1">
      <c r="T196" s="5"/>
      <c r="W196" s="5"/>
      <c r="X196" s="5"/>
      <c r="Y196" s="5"/>
    </row>
    <row r="197" ht="15.75" customHeight="1">
      <c r="T197" s="5"/>
      <c r="W197" s="5"/>
      <c r="X197" s="5"/>
      <c r="Y197" s="5"/>
    </row>
    <row r="198" ht="15.75" customHeight="1">
      <c r="T198" s="5"/>
      <c r="W198" s="5"/>
      <c r="X198" s="5"/>
      <c r="Y198" s="5"/>
    </row>
    <row r="199" ht="15.75" customHeight="1">
      <c r="T199" s="5"/>
      <c r="W199" s="5"/>
      <c r="X199" s="5"/>
      <c r="Y199" s="5"/>
    </row>
    <row r="200" ht="15.75" customHeight="1">
      <c r="T200" s="5"/>
      <c r="W200" s="5"/>
      <c r="X200" s="5"/>
      <c r="Y200" s="5"/>
    </row>
    <row r="201" ht="15.75" customHeight="1">
      <c r="T201" s="5"/>
      <c r="W201" s="5"/>
      <c r="X201" s="5"/>
      <c r="Y201" s="5"/>
    </row>
    <row r="202" ht="15.75" customHeight="1">
      <c r="T202" s="5"/>
      <c r="W202" s="5"/>
      <c r="X202" s="5"/>
      <c r="Y202" s="5"/>
    </row>
    <row r="203" ht="15.75" customHeight="1">
      <c r="T203" s="5"/>
      <c r="W203" s="5"/>
      <c r="X203" s="5"/>
      <c r="Y203" s="5"/>
    </row>
    <row r="204" ht="15.75" customHeight="1">
      <c r="T204" s="5"/>
      <c r="W204" s="5"/>
      <c r="X204" s="5"/>
      <c r="Y204" s="5"/>
    </row>
    <row r="205" ht="15.75" customHeight="1">
      <c r="T205" s="5"/>
      <c r="W205" s="5"/>
      <c r="X205" s="5"/>
      <c r="Y205" s="5"/>
    </row>
    <row r="206" ht="15.75" customHeight="1">
      <c r="T206" s="5"/>
      <c r="W206" s="5"/>
      <c r="X206" s="5"/>
      <c r="Y206" s="5"/>
    </row>
    <row r="207" ht="15.75" customHeight="1">
      <c r="T207" s="5"/>
      <c r="W207" s="5"/>
      <c r="X207" s="5"/>
      <c r="Y207" s="5"/>
    </row>
    <row r="208" ht="15.75" customHeight="1">
      <c r="T208" s="5"/>
      <c r="W208" s="5"/>
      <c r="X208" s="5"/>
      <c r="Y208" s="5"/>
    </row>
    <row r="209" ht="15.75" customHeight="1">
      <c r="T209" s="5"/>
      <c r="W209" s="5"/>
      <c r="X209" s="5"/>
      <c r="Y209" s="5"/>
    </row>
    <row r="210" ht="15.75" customHeight="1">
      <c r="T210" s="5"/>
      <c r="W210" s="5"/>
      <c r="X210" s="5"/>
      <c r="Y210" s="5"/>
    </row>
    <row r="211" ht="15.75" customHeight="1">
      <c r="T211" s="5"/>
      <c r="W211" s="5"/>
      <c r="X211" s="5"/>
      <c r="Y211" s="5"/>
    </row>
    <row r="212" ht="15.75" customHeight="1">
      <c r="T212" s="5"/>
      <c r="W212" s="5"/>
      <c r="X212" s="5"/>
      <c r="Y212" s="5"/>
    </row>
    <row r="213" ht="15.75" customHeight="1">
      <c r="T213" s="5"/>
      <c r="W213" s="5"/>
      <c r="X213" s="5"/>
      <c r="Y213" s="5"/>
    </row>
    <row r="214" ht="15.75" customHeight="1">
      <c r="T214" s="5"/>
      <c r="W214" s="5"/>
      <c r="X214" s="5"/>
      <c r="Y214" s="5"/>
    </row>
    <row r="215" ht="15.75" customHeight="1">
      <c r="T215" s="5"/>
      <c r="W215" s="5"/>
      <c r="X215" s="5"/>
      <c r="Y215" s="5"/>
    </row>
    <row r="216" ht="15.75" customHeight="1">
      <c r="T216" s="5"/>
      <c r="W216" s="5"/>
      <c r="X216" s="5"/>
      <c r="Y216" s="5"/>
    </row>
    <row r="217" ht="15.75" customHeight="1">
      <c r="T217" s="5"/>
      <c r="W217" s="5"/>
      <c r="X217" s="5"/>
      <c r="Y217" s="5"/>
    </row>
    <row r="218" ht="15.75" customHeight="1">
      <c r="T218" s="5"/>
      <c r="W218" s="5"/>
      <c r="X218" s="5"/>
      <c r="Y218" s="5"/>
    </row>
    <row r="219" ht="15.75" customHeight="1">
      <c r="T219" s="5"/>
      <c r="W219" s="5"/>
      <c r="X219" s="5"/>
      <c r="Y219" s="5"/>
    </row>
    <row r="220" ht="15.75" customHeight="1">
      <c r="T220" s="5"/>
      <c r="W220" s="5"/>
      <c r="X220" s="5"/>
      <c r="Y220" s="5"/>
    </row>
    <row r="221" ht="15.75" customHeight="1">
      <c r="T221" s="5"/>
      <c r="W221" s="5"/>
      <c r="X221" s="5"/>
      <c r="Y221" s="5"/>
    </row>
    <row r="222" ht="15.75" customHeight="1">
      <c r="T222" s="5"/>
      <c r="W222" s="5"/>
      <c r="X222" s="5"/>
      <c r="Y222" s="5"/>
    </row>
    <row r="223" ht="15.75" customHeight="1">
      <c r="T223" s="5"/>
      <c r="W223" s="5"/>
      <c r="X223" s="5"/>
      <c r="Y223" s="5"/>
    </row>
    <row r="224" ht="15.75" customHeight="1">
      <c r="T224" s="5"/>
      <c r="W224" s="5"/>
      <c r="X224" s="5"/>
      <c r="Y224" s="5"/>
    </row>
    <row r="225" ht="15.75" customHeight="1">
      <c r="T225" s="5"/>
      <c r="W225" s="5"/>
      <c r="X225" s="5"/>
      <c r="Y225" s="5"/>
    </row>
    <row r="226" ht="15.75" customHeight="1">
      <c r="T226" s="5"/>
      <c r="W226" s="5"/>
      <c r="X226" s="5"/>
      <c r="Y226" s="5"/>
    </row>
    <row r="227" ht="15.75" customHeight="1">
      <c r="T227" s="5"/>
      <c r="W227" s="5"/>
      <c r="X227" s="5"/>
      <c r="Y227" s="5"/>
    </row>
    <row r="228" ht="15.75" customHeight="1">
      <c r="T228" s="5"/>
      <c r="W228" s="5"/>
      <c r="X228" s="5"/>
      <c r="Y228" s="5"/>
    </row>
    <row r="229" ht="15.75" customHeight="1">
      <c r="T229" s="5"/>
      <c r="W229" s="5"/>
      <c r="X229" s="5"/>
      <c r="Y229" s="5"/>
    </row>
    <row r="230" ht="15.75" customHeight="1">
      <c r="T230" s="5"/>
      <c r="W230" s="5"/>
      <c r="X230" s="5"/>
      <c r="Y230" s="5"/>
    </row>
    <row r="231" ht="15.75" customHeight="1">
      <c r="T231" s="5"/>
      <c r="W231" s="5"/>
      <c r="X231" s="5"/>
      <c r="Y231" s="5"/>
    </row>
    <row r="232" ht="15.75" customHeight="1">
      <c r="T232" s="5"/>
      <c r="W232" s="5"/>
      <c r="X232" s="5"/>
      <c r="Y232" s="5"/>
    </row>
    <row r="233" ht="15.75" customHeight="1">
      <c r="T233" s="5"/>
      <c r="W233" s="5"/>
      <c r="X233" s="5"/>
      <c r="Y233" s="5"/>
    </row>
    <row r="234" ht="15.75" customHeight="1">
      <c r="T234" s="5"/>
      <c r="W234" s="5"/>
      <c r="X234" s="5"/>
      <c r="Y234" s="5"/>
    </row>
    <row r="235" ht="15.75" customHeight="1">
      <c r="T235" s="5"/>
      <c r="W235" s="5"/>
      <c r="X235" s="5"/>
      <c r="Y235" s="5"/>
    </row>
    <row r="236" ht="15.75" customHeight="1">
      <c r="T236" s="5"/>
      <c r="W236" s="5"/>
      <c r="X236" s="5"/>
      <c r="Y236" s="5"/>
    </row>
    <row r="237" ht="15.75" customHeight="1">
      <c r="T237" s="5"/>
      <c r="W237" s="5"/>
      <c r="X237" s="5"/>
      <c r="Y237" s="5"/>
    </row>
    <row r="238" ht="15.75" customHeight="1">
      <c r="T238" s="5"/>
      <c r="W238" s="5"/>
      <c r="X238" s="5"/>
      <c r="Y238" s="5"/>
    </row>
    <row r="239" ht="15.75" customHeight="1">
      <c r="T239" s="5"/>
      <c r="W239" s="5"/>
      <c r="X239" s="5"/>
      <c r="Y239" s="5"/>
    </row>
    <row r="240" ht="15.75" customHeight="1">
      <c r="T240" s="5"/>
      <c r="W240" s="5"/>
      <c r="X240" s="5"/>
      <c r="Y240" s="5"/>
    </row>
    <row r="241" ht="15.75" customHeight="1">
      <c r="T241" s="5"/>
      <c r="W241" s="5"/>
      <c r="X241" s="5"/>
      <c r="Y241" s="5"/>
    </row>
    <row r="242" ht="15.75" customHeight="1">
      <c r="T242" s="5"/>
      <c r="W242" s="5"/>
      <c r="X242" s="5"/>
      <c r="Y242" s="5"/>
    </row>
    <row r="243" ht="15.75" customHeight="1">
      <c r="T243" s="5"/>
      <c r="W243" s="5"/>
      <c r="X243" s="5"/>
      <c r="Y243" s="5"/>
    </row>
    <row r="244" ht="15.75" customHeight="1">
      <c r="T244" s="5"/>
      <c r="W244" s="5"/>
      <c r="X244" s="5"/>
      <c r="Y244" s="5"/>
    </row>
    <row r="245" ht="15.75" customHeight="1">
      <c r="T245" s="5"/>
      <c r="W245" s="5"/>
      <c r="X245" s="5"/>
      <c r="Y245" s="5"/>
    </row>
    <row r="246" ht="15.75" customHeight="1">
      <c r="T246" s="5"/>
      <c r="W246" s="5"/>
      <c r="X246" s="5"/>
      <c r="Y246" s="5"/>
    </row>
    <row r="247" ht="15.75" customHeight="1">
      <c r="T247" s="5"/>
      <c r="W247" s="5"/>
      <c r="X247" s="5"/>
      <c r="Y247" s="5"/>
    </row>
    <row r="248" ht="15.75" customHeight="1">
      <c r="T248" s="5"/>
      <c r="W248" s="5"/>
      <c r="X248" s="5"/>
      <c r="Y248" s="5"/>
    </row>
    <row r="249" ht="15.75" customHeight="1">
      <c r="T249" s="5"/>
      <c r="W249" s="5"/>
      <c r="X249" s="5"/>
      <c r="Y249" s="5"/>
    </row>
    <row r="250" ht="15.75" customHeight="1">
      <c r="T250" s="5"/>
      <c r="W250" s="5"/>
      <c r="X250" s="5"/>
      <c r="Y250" s="5"/>
    </row>
    <row r="251" ht="15.75" customHeight="1">
      <c r="T251" s="5"/>
      <c r="W251" s="5"/>
      <c r="X251" s="5"/>
      <c r="Y251" s="5"/>
    </row>
    <row r="252" ht="15.75" customHeight="1">
      <c r="T252" s="5"/>
      <c r="W252" s="5"/>
      <c r="X252" s="5"/>
      <c r="Y252" s="5"/>
    </row>
    <row r="253" ht="15.75" customHeight="1">
      <c r="T253" s="5"/>
      <c r="W253" s="5"/>
      <c r="X253" s="5"/>
      <c r="Y253" s="5"/>
    </row>
    <row r="254" ht="15.75" customHeight="1">
      <c r="T254" s="5"/>
      <c r="W254" s="5"/>
      <c r="X254" s="5"/>
      <c r="Y254" s="5"/>
    </row>
    <row r="255" ht="15.75" customHeight="1">
      <c r="T255" s="5"/>
      <c r="W255" s="5"/>
      <c r="X255" s="5"/>
      <c r="Y255" s="5"/>
    </row>
    <row r="256" ht="15.75" customHeight="1">
      <c r="T256" s="5"/>
      <c r="W256" s="5"/>
      <c r="X256" s="5"/>
      <c r="Y256" s="5"/>
    </row>
    <row r="257" ht="15.75" customHeight="1">
      <c r="T257" s="5"/>
      <c r="W257" s="5"/>
      <c r="X257" s="5"/>
      <c r="Y257" s="5"/>
    </row>
    <row r="258" ht="15.75" customHeight="1">
      <c r="T258" s="5"/>
      <c r="W258" s="5"/>
      <c r="X258" s="5"/>
      <c r="Y258" s="5"/>
    </row>
    <row r="259" ht="15.75" customHeight="1">
      <c r="T259" s="5"/>
      <c r="W259" s="5"/>
      <c r="X259" s="5"/>
      <c r="Y259" s="5"/>
    </row>
    <row r="260" ht="15.75" customHeight="1">
      <c r="T260" s="5"/>
      <c r="W260" s="5"/>
      <c r="X260" s="5"/>
      <c r="Y260" s="5"/>
    </row>
    <row r="261" ht="15.75" customHeight="1">
      <c r="T261" s="5"/>
      <c r="W261" s="5"/>
      <c r="X261" s="5"/>
      <c r="Y261" s="5"/>
    </row>
    <row r="262" ht="15.75" customHeight="1">
      <c r="T262" s="5"/>
      <c r="W262" s="5"/>
      <c r="X262" s="5"/>
      <c r="Y262" s="5"/>
    </row>
    <row r="263" ht="15.75" customHeight="1">
      <c r="T263" s="5"/>
      <c r="W263" s="5"/>
      <c r="X263" s="5"/>
      <c r="Y263" s="5"/>
    </row>
    <row r="264" ht="15.75" customHeight="1">
      <c r="T264" s="5"/>
      <c r="W264" s="5"/>
      <c r="X264" s="5"/>
      <c r="Y264" s="5"/>
    </row>
    <row r="265" ht="15.75" customHeight="1">
      <c r="T265" s="5"/>
      <c r="W265" s="5"/>
      <c r="X265" s="5"/>
      <c r="Y265" s="5"/>
    </row>
    <row r="266" ht="15.75" customHeight="1">
      <c r="T266" s="5"/>
      <c r="W266" s="5"/>
      <c r="X266" s="5"/>
      <c r="Y266" s="5"/>
    </row>
    <row r="267" ht="15.75" customHeight="1">
      <c r="T267" s="5"/>
      <c r="W267" s="5"/>
      <c r="X267" s="5"/>
      <c r="Y267" s="5"/>
    </row>
    <row r="268" ht="15.75" customHeight="1">
      <c r="T268" s="5"/>
      <c r="W268" s="5"/>
      <c r="X268" s="5"/>
      <c r="Y268" s="5"/>
    </row>
    <row r="269" ht="15.75" customHeight="1">
      <c r="T269" s="5"/>
      <c r="W269" s="5"/>
      <c r="X269" s="5"/>
      <c r="Y269" s="5"/>
    </row>
    <row r="270" ht="15.75" customHeight="1">
      <c r="T270" s="5"/>
      <c r="W270" s="5"/>
      <c r="X270" s="5"/>
      <c r="Y270" s="5"/>
    </row>
    <row r="271" ht="15.75" customHeight="1">
      <c r="T271" s="5"/>
      <c r="W271" s="5"/>
      <c r="X271" s="5"/>
      <c r="Y271" s="5"/>
    </row>
    <row r="272" ht="15.75" customHeight="1">
      <c r="T272" s="5"/>
      <c r="W272" s="5"/>
      <c r="X272" s="5"/>
      <c r="Y272" s="5"/>
    </row>
    <row r="273" ht="15.75" customHeight="1">
      <c r="T273" s="5"/>
      <c r="W273" s="5"/>
      <c r="X273" s="5"/>
      <c r="Y273" s="5"/>
    </row>
    <row r="274" ht="15.75" customHeight="1">
      <c r="T274" s="5"/>
      <c r="W274" s="5"/>
      <c r="X274" s="5"/>
      <c r="Y274" s="5"/>
    </row>
    <row r="275" ht="15.75" customHeight="1">
      <c r="T275" s="5"/>
      <c r="W275" s="5"/>
      <c r="X275" s="5"/>
      <c r="Y275" s="5"/>
    </row>
    <row r="276" ht="15.75" customHeight="1">
      <c r="T276" s="5"/>
      <c r="W276" s="5"/>
      <c r="X276" s="5"/>
      <c r="Y276" s="5"/>
    </row>
    <row r="277" ht="15.75" customHeight="1">
      <c r="T277" s="5"/>
      <c r="W277" s="5"/>
      <c r="X277" s="5"/>
      <c r="Y277" s="5"/>
    </row>
    <row r="278" ht="15.75" customHeight="1">
      <c r="T278" s="5"/>
      <c r="W278" s="5"/>
      <c r="X278" s="5"/>
      <c r="Y278" s="5"/>
    </row>
    <row r="279" ht="15.75" customHeight="1">
      <c r="T279" s="5"/>
      <c r="W279" s="5"/>
      <c r="X279" s="5"/>
      <c r="Y279" s="5"/>
    </row>
    <row r="280" ht="15.75" customHeight="1">
      <c r="T280" s="5"/>
      <c r="W280" s="5"/>
      <c r="X280" s="5"/>
      <c r="Y280" s="5"/>
    </row>
    <row r="281" ht="15.75" customHeight="1">
      <c r="T281" s="5"/>
      <c r="W281" s="5"/>
      <c r="X281" s="5"/>
      <c r="Y281" s="5"/>
    </row>
    <row r="282" ht="15.75" customHeight="1">
      <c r="T282" s="5"/>
      <c r="W282" s="5"/>
      <c r="X282" s="5"/>
      <c r="Y282" s="5"/>
    </row>
    <row r="283" ht="15.75" customHeight="1">
      <c r="T283" s="5"/>
      <c r="W283" s="5"/>
      <c r="X283" s="5"/>
      <c r="Y283" s="5"/>
    </row>
    <row r="284" ht="15.75" customHeight="1">
      <c r="T284" s="5"/>
      <c r="W284" s="5"/>
      <c r="X284" s="5"/>
      <c r="Y284" s="5"/>
    </row>
    <row r="285" ht="15.75" customHeight="1">
      <c r="T285" s="5"/>
      <c r="W285" s="5"/>
      <c r="X285" s="5"/>
      <c r="Y285" s="5"/>
    </row>
    <row r="286" ht="15.75" customHeight="1">
      <c r="T286" s="5"/>
      <c r="W286" s="5"/>
      <c r="X286" s="5"/>
      <c r="Y286" s="5"/>
    </row>
    <row r="287" ht="15.75" customHeight="1">
      <c r="T287" s="5"/>
      <c r="W287" s="5"/>
      <c r="X287" s="5"/>
      <c r="Y287" s="5"/>
    </row>
    <row r="288" ht="15.75" customHeight="1">
      <c r="T288" s="5"/>
      <c r="W288" s="5"/>
      <c r="X288" s="5"/>
      <c r="Y288" s="5"/>
    </row>
    <row r="289" ht="15.75" customHeight="1">
      <c r="T289" s="5"/>
      <c r="W289" s="5"/>
      <c r="X289" s="5"/>
      <c r="Y289" s="5"/>
    </row>
    <row r="290" ht="15.75" customHeight="1">
      <c r="T290" s="5"/>
      <c r="W290" s="5"/>
      <c r="X290" s="5"/>
      <c r="Y290" s="5"/>
    </row>
    <row r="291" ht="15.75" customHeight="1">
      <c r="T291" s="5"/>
      <c r="W291" s="5"/>
      <c r="X291" s="5"/>
      <c r="Y291" s="5"/>
    </row>
    <row r="292" ht="15.75" customHeight="1">
      <c r="T292" s="5"/>
      <c r="W292" s="5"/>
      <c r="X292" s="5"/>
      <c r="Y292" s="5"/>
    </row>
    <row r="293" ht="15.75" customHeight="1">
      <c r="T293" s="5"/>
      <c r="W293" s="5"/>
      <c r="X293" s="5"/>
      <c r="Y293" s="5"/>
    </row>
    <row r="294" ht="15.75" customHeight="1">
      <c r="T294" s="5"/>
      <c r="W294" s="5"/>
      <c r="X294" s="5"/>
      <c r="Y294" s="5"/>
    </row>
    <row r="295" ht="15.75" customHeight="1">
      <c r="T295" s="5"/>
      <c r="W295" s="5"/>
      <c r="X295" s="5"/>
      <c r="Y295" s="5"/>
    </row>
    <row r="296" ht="15.75" customHeight="1">
      <c r="T296" s="5"/>
      <c r="W296" s="5"/>
      <c r="X296" s="5"/>
      <c r="Y296" s="5"/>
    </row>
    <row r="297" ht="15.75" customHeight="1">
      <c r="T297" s="5"/>
      <c r="W297" s="5"/>
      <c r="X297" s="5"/>
      <c r="Y297" s="5"/>
    </row>
    <row r="298" ht="15.75" customHeight="1">
      <c r="T298" s="5"/>
      <c r="W298" s="5"/>
      <c r="X298" s="5"/>
      <c r="Y298" s="5"/>
    </row>
    <row r="299" ht="15.75" customHeight="1">
      <c r="T299" s="5"/>
      <c r="W299" s="5"/>
      <c r="X299" s="5"/>
      <c r="Y299" s="5"/>
    </row>
    <row r="300" ht="15.75" customHeight="1">
      <c r="T300" s="5"/>
      <c r="W300" s="5"/>
      <c r="X300" s="5"/>
      <c r="Y300" s="5"/>
    </row>
    <row r="301" ht="15.75" customHeight="1">
      <c r="T301" s="5"/>
      <c r="W301" s="5"/>
      <c r="X301" s="5"/>
      <c r="Y301" s="5"/>
    </row>
    <row r="302" ht="15.75" customHeight="1">
      <c r="T302" s="5"/>
      <c r="W302" s="5"/>
      <c r="X302" s="5"/>
      <c r="Y302" s="5"/>
    </row>
    <row r="303" ht="15.75" customHeight="1">
      <c r="T303" s="5"/>
      <c r="W303" s="5"/>
      <c r="X303" s="5"/>
      <c r="Y303" s="5"/>
    </row>
    <row r="304" ht="15.75" customHeight="1">
      <c r="T304" s="5"/>
      <c r="W304" s="5"/>
      <c r="X304" s="5"/>
      <c r="Y304" s="5"/>
    </row>
    <row r="305" ht="15.75" customHeight="1">
      <c r="T305" s="5"/>
      <c r="W305" s="5"/>
      <c r="X305" s="5"/>
      <c r="Y305" s="5"/>
    </row>
    <row r="306" ht="15.75" customHeight="1">
      <c r="T306" s="5"/>
      <c r="W306" s="5"/>
      <c r="X306" s="5"/>
      <c r="Y306" s="5"/>
    </row>
    <row r="307" ht="15.75" customHeight="1">
      <c r="T307" s="5"/>
      <c r="W307" s="5"/>
      <c r="X307" s="5"/>
      <c r="Y307" s="5"/>
    </row>
    <row r="308" ht="15.75" customHeight="1">
      <c r="T308" s="5"/>
      <c r="W308" s="5"/>
      <c r="X308" s="5"/>
      <c r="Y308" s="5"/>
    </row>
    <row r="309" ht="15.75" customHeight="1">
      <c r="T309" s="5"/>
      <c r="W309" s="5"/>
      <c r="X309" s="5"/>
      <c r="Y309" s="5"/>
    </row>
    <row r="310" ht="15.75" customHeight="1">
      <c r="T310" s="5"/>
      <c r="W310" s="5"/>
      <c r="X310" s="5"/>
      <c r="Y310" s="5"/>
    </row>
    <row r="311" ht="15.75" customHeight="1">
      <c r="T311" s="5"/>
      <c r="W311" s="5"/>
      <c r="X311" s="5"/>
      <c r="Y311" s="5"/>
    </row>
    <row r="312" ht="15.75" customHeight="1">
      <c r="T312" s="5"/>
      <c r="W312" s="5"/>
      <c r="X312" s="5"/>
      <c r="Y312" s="5"/>
    </row>
    <row r="313" ht="15.75" customHeight="1">
      <c r="T313" s="5"/>
      <c r="W313" s="5"/>
      <c r="X313" s="5"/>
      <c r="Y313" s="5"/>
    </row>
    <row r="314" ht="15.75" customHeight="1">
      <c r="T314" s="5"/>
      <c r="W314" s="5"/>
      <c r="X314" s="5"/>
      <c r="Y314" s="5"/>
    </row>
    <row r="315" ht="15.75" customHeight="1">
      <c r="T315" s="5"/>
      <c r="W315" s="5"/>
      <c r="X315" s="5"/>
      <c r="Y315" s="5"/>
    </row>
    <row r="316" ht="15.75" customHeight="1">
      <c r="T316" s="5"/>
      <c r="W316" s="5"/>
      <c r="X316" s="5"/>
      <c r="Y316" s="5"/>
    </row>
    <row r="317" ht="15.75" customHeight="1">
      <c r="T317" s="5"/>
      <c r="W317" s="5"/>
      <c r="X317" s="5"/>
      <c r="Y317" s="5"/>
    </row>
    <row r="318" ht="15.75" customHeight="1">
      <c r="T318" s="5"/>
      <c r="W318" s="5"/>
      <c r="X318" s="5"/>
      <c r="Y318" s="5"/>
    </row>
    <row r="319" ht="15.75" customHeight="1">
      <c r="T319" s="5"/>
      <c r="W319" s="5"/>
      <c r="X319" s="5"/>
      <c r="Y319" s="5"/>
    </row>
    <row r="320" ht="15.75" customHeight="1">
      <c r="T320" s="5"/>
      <c r="W320" s="5"/>
      <c r="X320" s="5"/>
      <c r="Y320" s="5"/>
    </row>
    <row r="321" ht="15.75" customHeight="1">
      <c r="T321" s="5"/>
      <c r="W321" s="5"/>
      <c r="X321" s="5"/>
      <c r="Y321" s="5"/>
    </row>
    <row r="322" ht="15.75" customHeight="1">
      <c r="T322" s="5"/>
      <c r="W322" s="5"/>
      <c r="X322" s="5"/>
      <c r="Y322" s="5"/>
    </row>
    <row r="323" ht="15.75" customHeight="1">
      <c r="T323" s="5"/>
      <c r="W323" s="5"/>
      <c r="X323" s="5"/>
      <c r="Y323" s="5"/>
    </row>
    <row r="324" ht="15.75" customHeight="1">
      <c r="T324" s="5"/>
      <c r="W324" s="5"/>
      <c r="X324" s="5"/>
      <c r="Y324" s="5"/>
    </row>
    <row r="325" ht="15.75" customHeight="1">
      <c r="T325" s="5"/>
      <c r="W325" s="5"/>
      <c r="X325" s="5"/>
      <c r="Y325" s="5"/>
    </row>
    <row r="326" ht="15.75" customHeight="1">
      <c r="T326" s="5"/>
      <c r="W326" s="5"/>
      <c r="X326" s="5"/>
      <c r="Y326" s="5"/>
    </row>
    <row r="327" ht="15.75" customHeight="1">
      <c r="T327" s="5"/>
      <c r="W327" s="5"/>
      <c r="X327" s="5"/>
      <c r="Y327" s="5"/>
    </row>
    <row r="328" ht="15.75" customHeight="1">
      <c r="T328" s="5"/>
      <c r="W328" s="5"/>
      <c r="X328" s="5"/>
      <c r="Y328" s="5"/>
    </row>
    <row r="329" ht="15.75" customHeight="1">
      <c r="T329" s="5"/>
      <c r="W329" s="5"/>
      <c r="X329" s="5"/>
      <c r="Y329" s="5"/>
    </row>
    <row r="330" ht="15.75" customHeight="1">
      <c r="T330" s="5"/>
      <c r="W330" s="5"/>
      <c r="X330" s="5"/>
      <c r="Y330" s="5"/>
    </row>
    <row r="331" ht="15.75" customHeight="1">
      <c r="T331" s="5"/>
      <c r="W331" s="5"/>
      <c r="X331" s="5"/>
      <c r="Y331" s="5"/>
    </row>
    <row r="332" ht="15.75" customHeight="1">
      <c r="T332" s="5"/>
      <c r="W332" s="5"/>
      <c r="X332" s="5"/>
      <c r="Y332" s="5"/>
    </row>
    <row r="333" ht="15.75" customHeight="1">
      <c r="T333" s="5"/>
      <c r="W333" s="5"/>
      <c r="X333" s="5"/>
      <c r="Y333" s="5"/>
    </row>
    <row r="334" ht="15.75" customHeight="1">
      <c r="T334" s="5"/>
      <c r="W334" s="5"/>
      <c r="X334" s="5"/>
      <c r="Y334" s="5"/>
    </row>
    <row r="335" ht="15.75" customHeight="1">
      <c r="T335" s="5"/>
      <c r="W335" s="5"/>
      <c r="X335" s="5"/>
      <c r="Y335" s="5"/>
    </row>
    <row r="336" ht="15.75" customHeight="1">
      <c r="T336" s="5"/>
      <c r="W336" s="5"/>
      <c r="X336" s="5"/>
      <c r="Y336" s="5"/>
    </row>
    <row r="337" ht="15.75" customHeight="1">
      <c r="T337" s="5"/>
      <c r="W337" s="5"/>
      <c r="X337" s="5"/>
      <c r="Y337" s="5"/>
    </row>
    <row r="338" ht="15.75" customHeight="1">
      <c r="T338" s="5"/>
      <c r="W338" s="5"/>
      <c r="X338" s="5"/>
      <c r="Y338" s="5"/>
    </row>
    <row r="339" ht="15.75" customHeight="1">
      <c r="T339" s="5"/>
      <c r="W339" s="5"/>
      <c r="X339" s="5"/>
      <c r="Y339" s="5"/>
    </row>
    <row r="340" ht="15.75" customHeight="1">
      <c r="T340" s="5"/>
      <c r="W340" s="5"/>
      <c r="X340" s="5"/>
      <c r="Y340" s="5"/>
    </row>
    <row r="341" ht="15.75" customHeight="1">
      <c r="T341" s="5"/>
      <c r="W341" s="5"/>
      <c r="X341" s="5"/>
      <c r="Y341" s="5"/>
    </row>
    <row r="342" ht="15.75" customHeight="1">
      <c r="T342" s="5"/>
      <c r="W342" s="5"/>
      <c r="X342" s="5"/>
      <c r="Y342" s="5"/>
    </row>
    <row r="343" ht="15.75" customHeight="1">
      <c r="T343" s="5"/>
      <c r="W343" s="5"/>
      <c r="X343" s="5"/>
      <c r="Y343" s="5"/>
    </row>
    <row r="344" ht="15.75" customHeight="1">
      <c r="T344" s="5"/>
      <c r="W344" s="5"/>
      <c r="X344" s="5"/>
      <c r="Y344" s="5"/>
    </row>
    <row r="345" ht="15.75" customHeight="1">
      <c r="T345" s="5"/>
      <c r="W345" s="5"/>
      <c r="X345" s="5"/>
      <c r="Y345" s="5"/>
    </row>
    <row r="346" ht="15.75" customHeight="1">
      <c r="T346" s="5"/>
      <c r="W346" s="5"/>
      <c r="X346" s="5"/>
      <c r="Y346" s="5"/>
    </row>
    <row r="347" ht="15.75" customHeight="1">
      <c r="T347" s="5"/>
      <c r="W347" s="5"/>
      <c r="X347" s="5"/>
      <c r="Y347" s="5"/>
    </row>
    <row r="348" ht="15.75" customHeight="1">
      <c r="T348" s="5"/>
      <c r="W348" s="5"/>
      <c r="X348" s="5"/>
      <c r="Y348" s="5"/>
    </row>
    <row r="349" ht="15.75" customHeight="1">
      <c r="T349" s="5"/>
      <c r="W349" s="5"/>
      <c r="X349" s="5"/>
      <c r="Y349" s="5"/>
    </row>
    <row r="350" ht="15.75" customHeight="1">
      <c r="T350" s="5"/>
      <c r="W350" s="5"/>
      <c r="X350" s="5"/>
      <c r="Y350" s="5"/>
    </row>
    <row r="351" ht="15.75" customHeight="1">
      <c r="T351" s="5"/>
      <c r="W351" s="5"/>
      <c r="X351" s="5"/>
      <c r="Y351" s="5"/>
    </row>
    <row r="352" ht="15.75" customHeight="1">
      <c r="T352" s="5"/>
      <c r="W352" s="5"/>
      <c r="X352" s="5"/>
      <c r="Y352" s="5"/>
    </row>
    <row r="353" ht="15.75" customHeight="1">
      <c r="T353" s="5"/>
      <c r="W353" s="5"/>
      <c r="X353" s="5"/>
      <c r="Y353" s="5"/>
    </row>
    <row r="354" ht="15.75" customHeight="1">
      <c r="T354" s="5"/>
      <c r="W354" s="5"/>
      <c r="X354" s="5"/>
      <c r="Y354" s="5"/>
    </row>
    <row r="355" ht="15.75" customHeight="1">
      <c r="T355" s="5"/>
      <c r="W355" s="5"/>
      <c r="X355" s="5"/>
      <c r="Y355" s="5"/>
    </row>
    <row r="356" ht="15.75" customHeight="1">
      <c r="T356" s="5"/>
      <c r="W356" s="5"/>
      <c r="X356" s="5"/>
      <c r="Y356" s="5"/>
    </row>
    <row r="357" ht="15.75" customHeight="1">
      <c r="T357" s="5"/>
      <c r="W357" s="5"/>
      <c r="X357" s="5"/>
      <c r="Y357" s="5"/>
    </row>
    <row r="358" ht="15.75" customHeight="1">
      <c r="T358" s="5"/>
      <c r="W358" s="5"/>
      <c r="X358" s="5"/>
      <c r="Y358" s="5"/>
    </row>
    <row r="359" ht="15.75" customHeight="1">
      <c r="T359" s="5"/>
      <c r="W359" s="5"/>
      <c r="X359" s="5"/>
      <c r="Y359" s="5"/>
    </row>
    <row r="360" ht="15.75" customHeight="1">
      <c r="T360" s="5"/>
      <c r="W360" s="5"/>
      <c r="X360" s="5"/>
      <c r="Y360" s="5"/>
    </row>
    <row r="361" ht="15.75" customHeight="1">
      <c r="T361" s="5"/>
      <c r="W361" s="5"/>
      <c r="X361" s="5"/>
      <c r="Y361" s="5"/>
    </row>
    <row r="362" ht="15.75" customHeight="1">
      <c r="T362" s="5"/>
      <c r="W362" s="5"/>
      <c r="X362" s="5"/>
      <c r="Y362" s="5"/>
    </row>
    <row r="363" ht="15.75" customHeight="1">
      <c r="T363" s="5"/>
      <c r="W363" s="5"/>
      <c r="X363" s="5"/>
      <c r="Y363" s="5"/>
    </row>
    <row r="364" ht="15.75" customHeight="1">
      <c r="T364" s="5"/>
      <c r="W364" s="5"/>
      <c r="X364" s="5"/>
      <c r="Y364" s="5"/>
    </row>
    <row r="365" ht="15.75" customHeight="1">
      <c r="T365" s="5"/>
      <c r="W365" s="5"/>
      <c r="X365" s="5"/>
      <c r="Y365" s="5"/>
    </row>
    <row r="366" ht="15.75" customHeight="1">
      <c r="T366" s="5"/>
      <c r="W366" s="5"/>
      <c r="X366" s="5"/>
      <c r="Y366" s="5"/>
    </row>
    <row r="367" ht="15.75" customHeight="1">
      <c r="T367" s="5"/>
      <c r="W367" s="5"/>
      <c r="X367" s="5"/>
      <c r="Y367" s="5"/>
    </row>
    <row r="368" ht="15.75" customHeight="1">
      <c r="T368" s="5"/>
      <c r="W368" s="5"/>
      <c r="X368" s="5"/>
      <c r="Y368" s="5"/>
    </row>
    <row r="369" ht="15.75" customHeight="1">
      <c r="T369" s="5"/>
      <c r="W369" s="5"/>
      <c r="X369" s="5"/>
      <c r="Y369" s="5"/>
    </row>
    <row r="370" ht="15.75" customHeight="1">
      <c r="T370" s="5"/>
      <c r="W370" s="5"/>
      <c r="X370" s="5"/>
      <c r="Y370" s="5"/>
    </row>
    <row r="371" ht="15.75" customHeight="1">
      <c r="T371" s="5"/>
      <c r="W371" s="5"/>
      <c r="X371" s="5"/>
      <c r="Y371" s="5"/>
    </row>
    <row r="372" ht="15.75" customHeight="1">
      <c r="T372" s="5"/>
      <c r="W372" s="5"/>
      <c r="X372" s="5"/>
      <c r="Y372" s="5"/>
    </row>
    <row r="373" ht="15.75" customHeight="1">
      <c r="T373" s="5"/>
      <c r="W373" s="5"/>
      <c r="X373" s="5"/>
      <c r="Y373" s="5"/>
    </row>
    <row r="374" ht="15.75" customHeight="1">
      <c r="T374" s="5"/>
      <c r="W374" s="5"/>
      <c r="X374" s="5"/>
      <c r="Y374" s="5"/>
    </row>
    <row r="375" ht="15.75" customHeight="1">
      <c r="T375" s="5"/>
      <c r="W375" s="5"/>
      <c r="X375" s="5"/>
      <c r="Y375" s="5"/>
    </row>
    <row r="376" ht="15.75" customHeight="1">
      <c r="T376" s="5"/>
      <c r="W376" s="5"/>
      <c r="X376" s="5"/>
      <c r="Y376" s="5"/>
    </row>
    <row r="377" ht="15.75" customHeight="1">
      <c r="T377" s="5"/>
      <c r="W377" s="5"/>
      <c r="X377" s="5"/>
      <c r="Y377" s="5"/>
    </row>
    <row r="378" ht="15.75" customHeight="1">
      <c r="T378" s="5"/>
      <c r="W378" s="5"/>
      <c r="X378" s="5"/>
      <c r="Y378" s="5"/>
    </row>
    <row r="379" ht="15.75" customHeight="1">
      <c r="T379" s="5"/>
      <c r="W379" s="5"/>
      <c r="X379" s="5"/>
      <c r="Y379" s="5"/>
    </row>
    <row r="380" ht="15.75" customHeight="1">
      <c r="T380" s="5"/>
      <c r="W380" s="5"/>
      <c r="X380" s="5"/>
      <c r="Y380" s="5"/>
    </row>
    <row r="381" ht="15.75" customHeight="1">
      <c r="T381" s="5"/>
      <c r="W381" s="5"/>
      <c r="X381" s="5"/>
      <c r="Y381" s="5"/>
    </row>
    <row r="382" ht="15.75" customHeight="1">
      <c r="T382" s="5"/>
      <c r="W382" s="5"/>
      <c r="X382" s="5"/>
      <c r="Y382" s="5"/>
    </row>
    <row r="383" ht="15.75" customHeight="1">
      <c r="T383" s="5"/>
      <c r="W383" s="5"/>
      <c r="X383" s="5"/>
      <c r="Y383" s="5"/>
    </row>
    <row r="384" ht="15.75" customHeight="1">
      <c r="T384" s="5"/>
      <c r="W384" s="5"/>
      <c r="X384" s="5"/>
      <c r="Y384" s="5"/>
    </row>
    <row r="385" ht="15.75" customHeight="1">
      <c r="T385" s="5"/>
      <c r="W385" s="5"/>
      <c r="X385" s="5"/>
      <c r="Y385" s="5"/>
    </row>
    <row r="386" ht="15.75" customHeight="1">
      <c r="T386" s="5"/>
      <c r="W386" s="5"/>
      <c r="X386" s="5"/>
      <c r="Y386" s="5"/>
    </row>
    <row r="387" ht="15.75" customHeight="1">
      <c r="T387" s="5"/>
      <c r="W387" s="5"/>
      <c r="X387" s="5"/>
      <c r="Y387" s="5"/>
    </row>
    <row r="388" ht="15.75" customHeight="1">
      <c r="T388" s="5"/>
      <c r="W388" s="5"/>
      <c r="X388" s="5"/>
      <c r="Y388" s="5"/>
    </row>
    <row r="389" ht="15.75" customHeight="1">
      <c r="T389" s="5"/>
      <c r="W389" s="5"/>
      <c r="X389" s="5"/>
      <c r="Y389" s="5"/>
    </row>
    <row r="390" ht="15.75" customHeight="1">
      <c r="T390" s="5"/>
      <c r="W390" s="5"/>
      <c r="X390" s="5"/>
      <c r="Y390" s="5"/>
    </row>
    <row r="391" ht="15.75" customHeight="1">
      <c r="T391" s="5"/>
      <c r="W391" s="5"/>
      <c r="X391" s="5"/>
      <c r="Y391" s="5"/>
    </row>
    <row r="392" ht="15.75" customHeight="1">
      <c r="T392" s="5"/>
      <c r="W392" s="5"/>
      <c r="X392" s="5"/>
      <c r="Y392" s="5"/>
    </row>
    <row r="393" ht="15.75" customHeight="1">
      <c r="T393" s="5"/>
      <c r="W393" s="5"/>
      <c r="X393" s="5"/>
      <c r="Y393" s="5"/>
    </row>
    <row r="394" ht="15.75" customHeight="1">
      <c r="T394" s="5"/>
      <c r="W394" s="5"/>
      <c r="X394" s="5"/>
      <c r="Y394" s="5"/>
    </row>
    <row r="395" ht="15.75" customHeight="1">
      <c r="T395" s="5"/>
      <c r="W395" s="5"/>
      <c r="X395" s="5"/>
      <c r="Y395" s="5"/>
    </row>
    <row r="396" ht="15.75" customHeight="1">
      <c r="T396" s="5"/>
      <c r="W396" s="5"/>
      <c r="X396" s="5"/>
      <c r="Y396" s="5"/>
    </row>
    <row r="397" ht="15.75" customHeight="1">
      <c r="T397" s="5"/>
      <c r="W397" s="5"/>
      <c r="X397" s="5"/>
      <c r="Y397" s="5"/>
    </row>
    <row r="398" ht="15.75" customHeight="1">
      <c r="T398" s="5"/>
      <c r="W398" s="5"/>
      <c r="X398" s="5"/>
      <c r="Y398" s="5"/>
    </row>
    <row r="399" ht="15.75" customHeight="1">
      <c r="T399" s="5"/>
      <c r="W399" s="5"/>
      <c r="X399" s="5"/>
      <c r="Y399" s="5"/>
    </row>
    <row r="400" ht="15.75" customHeight="1">
      <c r="T400" s="5"/>
      <c r="W400" s="5"/>
      <c r="X400" s="5"/>
      <c r="Y400" s="5"/>
    </row>
    <row r="401" ht="15.75" customHeight="1">
      <c r="T401" s="5"/>
      <c r="W401" s="5"/>
      <c r="X401" s="5"/>
      <c r="Y401" s="5"/>
    </row>
    <row r="402" ht="15.75" customHeight="1">
      <c r="T402" s="5"/>
      <c r="W402" s="5"/>
      <c r="X402" s="5"/>
      <c r="Y402" s="5"/>
    </row>
    <row r="403" ht="15.75" customHeight="1">
      <c r="T403" s="5"/>
      <c r="W403" s="5"/>
      <c r="X403" s="5"/>
      <c r="Y403" s="5"/>
    </row>
    <row r="404" ht="15.75" customHeight="1">
      <c r="T404" s="5"/>
      <c r="W404" s="5"/>
      <c r="X404" s="5"/>
      <c r="Y404" s="5"/>
    </row>
    <row r="405" ht="15.75" customHeight="1">
      <c r="T405" s="5"/>
      <c r="W405" s="5"/>
      <c r="X405" s="5"/>
      <c r="Y405" s="5"/>
    </row>
    <row r="406" ht="15.75" customHeight="1">
      <c r="T406" s="5"/>
      <c r="W406" s="5"/>
      <c r="X406" s="5"/>
      <c r="Y406" s="5"/>
    </row>
    <row r="407" ht="15.75" customHeight="1">
      <c r="T407" s="5"/>
      <c r="W407" s="5"/>
      <c r="X407" s="5"/>
      <c r="Y407" s="5"/>
    </row>
    <row r="408" ht="15.75" customHeight="1">
      <c r="T408" s="5"/>
      <c r="W408" s="5"/>
      <c r="X408" s="5"/>
      <c r="Y408" s="5"/>
    </row>
    <row r="409" ht="15.75" customHeight="1">
      <c r="T409" s="5"/>
      <c r="W409" s="5"/>
      <c r="X409" s="5"/>
      <c r="Y409" s="5"/>
    </row>
    <row r="410" ht="15.75" customHeight="1">
      <c r="T410" s="5"/>
      <c r="W410" s="5"/>
      <c r="X410" s="5"/>
      <c r="Y410" s="5"/>
    </row>
    <row r="411" ht="15.75" customHeight="1">
      <c r="T411" s="5"/>
      <c r="W411" s="5"/>
      <c r="X411" s="5"/>
      <c r="Y411" s="5"/>
    </row>
    <row r="412" ht="15.75" customHeight="1">
      <c r="T412" s="5"/>
      <c r="W412" s="5"/>
      <c r="X412" s="5"/>
      <c r="Y412" s="5"/>
    </row>
    <row r="413" ht="15.75" customHeight="1">
      <c r="T413" s="5"/>
      <c r="W413" s="5"/>
      <c r="X413" s="5"/>
      <c r="Y413" s="5"/>
    </row>
    <row r="414" ht="15.75" customHeight="1">
      <c r="T414" s="5"/>
      <c r="W414" s="5"/>
      <c r="X414" s="5"/>
      <c r="Y414" s="5"/>
    </row>
    <row r="415" ht="15.75" customHeight="1">
      <c r="T415" s="5"/>
      <c r="W415" s="5"/>
      <c r="X415" s="5"/>
      <c r="Y415" s="5"/>
    </row>
    <row r="416" ht="15.75" customHeight="1">
      <c r="T416" s="5"/>
      <c r="W416" s="5"/>
      <c r="X416" s="5"/>
      <c r="Y416" s="5"/>
    </row>
    <row r="417" ht="15.75" customHeight="1">
      <c r="T417" s="5"/>
      <c r="W417" s="5"/>
      <c r="X417" s="5"/>
      <c r="Y417" s="5"/>
    </row>
    <row r="418" ht="15.75" customHeight="1">
      <c r="T418" s="5"/>
      <c r="W418" s="5"/>
      <c r="X418" s="5"/>
      <c r="Y418" s="5"/>
    </row>
    <row r="419" ht="15.75" customHeight="1">
      <c r="T419" s="5"/>
      <c r="W419" s="5"/>
      <c r="X419" s="5"/>
      <c r="Y419" s="5"/>
    </row>
    <row r="420" ht="15.75" customHeight="1">
      <c r="T420" s="5"/>
      <c r="W420" s="5"/>
      <c r="X420" s="5"/>
      <c r="Y420" s="5"/>
    </row>
    <row r="421" ht="15.75" customHeight="1">
      <c r="T421" s="5"/>
      <c r="W421" s="5"/>
      <c r="X421" s="5"/>
      <c r="Y421" s="5"/>
    </row>
    <row r="422" ht="15.75" customHeight="1">
      <c r="T422" s="5"/>
      <c r="W422" s="5"/>
      <c r="X422" s="5"/>
      <c r="Y422" s="5"/>
    </row>
    <row r="423" ht="15.75" customHeight="1">
      <c r="T423" s="5"/>
      <c r="W423" s="5"/>
      <c r="X423" s="5"/>
      <c r="Y423" s="5"/>
    </row>
    <row r="424" ht="15.75" customHeight="1">
      <c r="T424" s="5"/>
      <c r="W424" s="5"/>
      <c r="X424" s="5"/>
      <c r="Y424" s="5"/>
    </row>
    <row r="425" ht="15.75" customHeight="1">
      <c r="T425" s="5"/>
      <c r="W425" s="5"/>
      <c r="X425" s="5"/>
      <c r="Y425" s="5"/>
    </row>
    <row r="426" ht="15.75" customHeight="1">
      <c r="T426" s="5"/>
      <c r="W426" s="5"/>
      <c r="X426" s="5"/>
      <c r="Y426" s="5"/>
    </row>
    <row r="427" ht="15.75" customHeight="1">
      <c r="T427" s="5"/>
      <c r="W427" s="5"/>
      <c r="X427" s="5"/>
      <c r="Y427" s="5"/>
    </row>
    <row r="428" ht="15.75" customHeight="1">
      <c r="T428" s="5"/>
      <c r="W428" s="5"/>
      <c r="X428" s="5"/>
      <c r="Y428" s="5"/>
    </row>
    <row r="429" ht="15.75" customHeight="1">
      <c r="T429" s="5"/>
      <c r="W429" s="5"/>
      <c r="X429" s="5"/>
      <c r="Y429" s="5"/>
    </row>
    <row r="430" ht="15.75" customHeight="1">
      <c r="T430" s="5"/>
      <c r="W430" s="5"/>
      <c r="X430" s="5"/>
      <c r="Y430" s="5"/>
    </row>
    <row r="431" ht="15.75" customHeight="1">
      <c r="T431" s="5"/>
      <c r="W431" s="5"/>
      <c r="X431" s="5"/>
      <c r="Y431" s="5"/>
    </row>
    <row r="432" ht="15.75" customHeight="1">
      <c r="T432" s="5"/>
      <c r="W432" s="5"/>
      <c r="X432" s="5"/>
      <c r="Y432" s="5"/>
    </row>
    <row r="433" ht="15.75" customHeight="1">
      <c r="T433" s="5"/>
      <c r="W433" s="5"/>
      <c r="X433" s="5"/>
      <c r="Y433" s="5"/>
    </row>
    <row r="434" ht="15.75" customHeight="1">
      <c r="T434" s="5"/>
      <c r="W434" s="5"/>
      <c r="X434" s="5"/>
      <c r="Y434" s="5"/>
    </row>
    <row r="435" ht="15.75" customHeight="1">
      <c r="T435" s="5"/>
      <c r="W435" s="5"/>
      <c r="X435" s="5"/>
      <c r="Y435" s="5"/>
    </row>
    <row r="436" ht="15.75" customHeight="1">
      <c r="T436" s="5"/>
      <c r="W436" s="5"/>
      <c r="X436" s="5"/>
      <c r="Y436" s="5"/>
    </row>
    <row r="437" ht="15.75" customHeight="1">
      <c r="T437" s="5"/>
      <c r="W437" s="5"/>
      <c r="X437" s="5"/>
      <c r="Y437" s="5"/>
    </row>
    <row r="438" ht="15.75" customHeight="1">
      <c r="T438" s="5"/>
      <c r="W438" s="5"/>
      <c r="X438" s="5"/>
      <c r="Y438" s="5"/>
    </row>
    <row r="439" ht="15.75" customHeight="1">
      <c r="T439" s="5"/>
      <c r="W439" s="5"/>
      <c r="X439" s="5"/>
      <c r="Y439" s="5"/>
    </row>
    <row r="440" ht="15.75" customHeight="1">
      <c r="T440" s="5"/>
      <c r="W440" s="5"/>
      <c r="X440" s="5"/>
      <c r="Y440" s="5"/>
    </row>
    <row r="441" ht="15.75" customHeight="1">
      <c r="T441" s="5"/>
      <c r="W441" s="5"/>
      <c r="X441" s="5"/>
      <c r="Y441" s="5"/>
    </row>
    <row r="442" ht="15.75" customHeight="1">
      <c r="T442" s="5"/>
      <c r="W442" s="5"/>
      <c r="X442" s="5"/>
      <c r="Y442" s="5"/>
    </row>
    <row r="443" ht="15.75" customHeight="1">
      <c r="T443" s="5"/>
      <c r="W443" s="5"/>
      <c r="X443" s="5"/>
      <c r="Y443" s="5"/>
    </row>
    <row r="444" ht="15.75" customHeight="1">
      <c r="T444" s="5"/>
      <c r="W444" s="5"/>
      <c r="X444" s="5"/>
      <c r="Y444" s="5"/>
    </row>
    <row r="445" ht="15.75" customHeight="1">
      <c r="T445" s="5"/>
      <c r="W445" s="5"/>
      <c r="X445" s="5"/>
      <c r="Y445" s="5"/>
    </row>
    <row r="446" ht="15.75" customHeight="1">
      <c r="T446" s="5"/>
      <c r="W446" s="5"/>
      <c r="X446" s="5"/>
      <c r="Y446" s="5"/>
    </row>
    <row r="447" ht="15.75" customHeight="1">
      <c r="T447" s="5"/>
      <c r="W447" s="5"/>
      <c r="X447" s="5"/>
      <c r="Y447" s="5"/>
    </row>
    <row r="448" ht="15.75" customHeight="1">
      <c r="T448" s="5"/>
      <c r="W448" s="5"/>
      <c r="X448" s="5"/>
      <c r="Y448" s="5"/>
    </row>
    <row r="449" ht="15.75" customHeight="1">
      <c r="T449" s="5"/>
      <c r="W449" s="5"/>
      <c r="X449" s="5"/>
      <c r="Y449" s="5"/>
    </row>
    <row r="450" ht="15.75" customHeight="1">
      <c r="T450" s="5"/>
      <c r="W450" s="5"/>
      <c r="X450" s="5"/>
      <c r="Y450" s="5"/>
    </row>
    <row r="451" ht="15.75" customHeight="1">
      <c r="T451" s="5"/>
      <c r="W451" s="5"/>
      <c r="X451" s="5"/>
      <c r="Y451" s="5"/>
    </row>
    <row r="452" ht="15.75" customHeight="1">
      <c r="T452" s="5"/>
      <c r="W452" s="5"/>
      <c r="X452" s="5"/>
      <c r="Y452" s="5"/>
    </row>
    <row r="453" ht="15.75" customHeight="1">
      <c r="T453" s="5"/>
      <c r="W453" s="5"/>
      <c r="X453" s="5"/>
      <c r="Y453" s="5"/>
    </row>
    <row r="454" ht="15.75" customHeight="1">
      <c r="T454" s="5"/>
      <c r="W454" s="5"/>
      <c r="X454" s="5"/>
      <c r="Y454" s="5"/>
    </row>
    <row r="455" ht="15.75" customHeight="1">
      <c r="T455" s="5"/>
      <c r="W455" s="5"/>
      <c r="X455" s="5"/>
      <c r="Y455" s="5"/>
    </row>
    <row r="456" ht="15.75" customHeight="1">
      <c r="T456" s="5"/>
      <c r="W456" s="5"/>
      <c r="X456" s="5"/>
      <c r="Y456" s="5"/>
    </row>
    <row r="457" ht="15.75" customHeight="1">
      <c r="T457" s="5"/>
      <c r="W457" s="5"/>
      <c r="X457" s="5"/>
      <c r="Y457" s="5"/>
    </row>
    <row r="458" ht="15.75" customHeight="1">
      <c r="T458" s="5"/>
      <c r="W458" s="5"/>
      <c r="X458" s="5"/>
      <c r="Y458" s="5"/>
    </row>
    <row r="459" ht="15.75" customHeight="1">
      <c r="T459" s="5"/>
      <c r="W459" s="5"/>
      <c r="X459" s="5"/>
      <c r="Y459" s="5"/>
    </row>
    <row r="460" ht="15.75" customHeight="1">
      <c r="T460" s="5"/>
      <c r="W460" s="5"/>
      <c r="X460" s="5"/>
      <c r="Y460" s="5"/>
    </row>
    <row r="461" ht="15.75" customHeight="1">
      <c r="T461" s="5"/>
      <c r="W461" s="5"/>
      <c r="X461" s="5"/>
      <c r="Y461" s="5"/>
    </row>
    <row r="462" ht="15.75" customHeight="1">
      <c r="T462" s="5"/>
      <c r="W462" s="5"/>
      <c r="X462" s="5"/>
      <c r="Y462" s="5"/>
    </row>
    <row r="463" ht="15.75" customHeight="1">
      <c r="T463" s="5"/>
      <c r="W463" s="5"/>
      <c r="X463" s="5"/>
      <c r="Y463" s="5"/>
    </row>
    <row r="464" ht="15.75" customHeight="1">
      <c r="T464" s="5"/>
      <c r="W464" s="5"/>
      <c r="X464" s="5"/>
      <c r="Y464" s="5"/>
    </row>
    <row r="465" ht="15.75" customHeight="1">
      <c r="T465" s="5"/>
      <c r="W465" s="5"/>
      <c r="X465" s="5"/>
      <c r="Y465" s="5"/>
    </row>
    <row r="466" ht="15.75" customHeight="1">
      <c r="T466" s="5"/>
      <c r="W466" s="5"/>
      <c r="X466" s="5"/>
      <c r="Y466" s="5"/>
    </row>
    <row r="467" ht="15.75" customHeight="1">
      <c r="T467" s="5"/>
      <c r="W467" s="5"/>
      <c r="X467" s="5"/>
      <c r="Y467" s="5"/>
    </row>
    <row r="468" ht="15.75" customHeight="1">
      <c r="T468" s="5"/>
      <c r="W468" s="5"/>
      <c r="X468" s="5"/>
      <c r="Y468" s="5"/>
    </row>
    <row r="469" ht="15.75" customHeight="1">
      <c r="T469" s="5"/>
      <c r="W469" s="5"/>
      <c r="X469" s="5"/>
      <c r="Y469" s="5"/>
    </row>
    <row r="470" ht="15.75" customHeight="1">
      <c r="T470" s="5"/>
      <c r="W470" s="5"/>
      <c r="X470" s="5"/>
      <c r="Y470" s="5"/>
    </row>
    <row r="471" ht="15.75" customHeight="1">
      <c r="T471" s="5"/>
      <c r="W471" s="5"/>
      <c r="X471" s="5"/>
      <c r="Y471" s="5"/>
    </row>
    <row r="472" ht="15.75" customHeight="1">
      <c r="T472" s="5"/>
      <c r="W472" s="5"/>
      <c r="X472" s="5"/>
      <c r="Y472" s="5"/>
    </row>
    <row r="473" ht="15.75" customHeight="1">
      <c r="T473" s="5"/>
      <c r="W473" s="5"/>
      <c r="X473" s="5"/>
      <c r="Y473" s="5"/>
    </row>
    <row r="474" ht="15.75" customHeight="1">
      <c r="T474" s="5"/>
      <c r="W474" s="5"/>
      <c r="X474" s="5"/>
      <c r="Y474" s="5"/>
    </row>
    <row r="475" ht="15.75" customHeight="1">
      <c r="T475" s="5"/>
      <c r="W475" s="5"/>
      <c r="X475" s="5"/>
      <c r="Y475" s="5"/>
    </row>
    <row r="476" ht="15.75" customHeight="1">
      <c r="T476" s="5"/>
      <c r="W476" s="5"/>
      <c r="X476" s="5"/>
      <c r="Y476" s="5"/>
    </row>
    <row r="477" ht="15.75" customHeight="1">
      <c r="T477" s="5"/>
      <c r="W477" s="5"/>
      <c r="X477" s="5"/>
      <c r="Y477" s="5"/>
    </row>
    <row r="478" ht="15.75" customHeight="1">
      <c r="T478" s="5"/>
      <c r="W478" s="5"/>
      <c r="X478" s="5"/>
      <c r="Y478" s="5"/>
    </row>
    <row r="479" ht="15.75" customHeight="1">
      <c r="T479" s="5"/>
      <c r="W479" s="5"/>
      <c r="X479" s="5"/>
      <c r="Y479" s="5"/>
    </row>
    <row r="480" ht="15.75" customHeight="1">
      <c r="T480" s="5"/>
      <c r="W480" s="5"/>
      <c r="X480" s="5"/>
      <c r="Y480" s="5"/>
    </row>
    <row r="481" ht="15.75" customHeight="1">
      <c r="T481" s="5"/>
      <c r="W481" s="5"/>
      <c r="X481" s="5"/>
      <c r="Y481" s="5"/>
    </row>
    <row r="482" ht="15.75" customHeight="1">
      <c r="T482" s="5"/>
      <c r="W482" s="5"/>
      <c r="X482" s="5"/>
      <c r="Y482" s="5"/>
    </row>
    <row r="483" ht="15.75" customHeight="1">
      <c r="T483" s="5"/>
      <c r="W483" s="5"/>
      <c r="X483" s="5"/>
      <c r="Y483" s="5"/>
    </row>
    <row r="484" ht="15.75" customHeight="1">
      <c r="T484" s="5"/>
      <c r="W484" s="5"/>
      <c r="X484" s="5"/>
      <c r="Y484" s="5"/>
    </row>
    <row r="485" ht="15.75" customHeight="1">
      <c r="T485" s="5"/>
      <c r="W485" s="5"/>
      <c r="X485" s="5"/>
      <c r="Y485" s="5"/>
    </row>
    <row r="486" ht="15.75" customHeight="1">
      <c r="T486" s="5"/>
      <c r="W486" s="5"/>
      <c r="X486" s="5"/>
      <c r="Y486" s="5"/>
    </row>
    <row r="487" ht="15.75" customHeight="1">
      <c r="T487" s="5"/>
      <c r="W487" s="5"/>
      <c r="X487" s="5"/>
      <c r="Y487" s="5"/>
    </row>
    <row r="488" ht="15.75" customHeight="1">
      <c r="T488" s="5"/>
      <c r="W488" s="5"/>
      <c r="X488" s="5"/>
      <c r="Y488" s="5"/>
    </row>
    <row r="489" ht="15.75" customHeight="1">
      <c r="T489" s="5"/>
      <c r="W489" s="5"/>
      <c r="X489" s="5"/>
      <c r="Y489" s="5"/>
    </row>
    <row r="490" ht="15.75" customHeight="1">
      <c r="T490" s="5"/>
      <c r="W490" s="5"/>
      <c r="X490" s="5"/>
      <c r="Y490" s="5"/>
    </row>
    <row r="491" ht="15.75" customHeight="1">
      <c r="T491" s="5"/>
      <c r="W491" s="5"/>
      <c r="X491" s="5"/>
      <c r="Y491" s="5"/>
    </row>
    <row r="492" ht="15.75" customHeight="1">
      <c r="T492" s="5"/>
      <c r="W492" s="5"/>
      <c r="X492" s="5"/>
      <c r="Y492" s="5"/>
    </row>
    <row r="493" ht="15.75" customHeight="1">
      <c r="T493" s="5"/>
      <c r="W493" s="5"/>
      <c r="X493" s="5"/>
      <c r="Y493" s="5"/>
    </row>
    <row r="494" ht="15.75" customHeight="1">
      <c r="T494" s="5"/>
      <c r="W494" s="5"/>
      <c r="X494" s="5"/>
      <c r="Y494" s="5"/>
    </row>
    <row r="495" ht="15.75" customHeight="1">
      <c r="T495" s="5"/>
      <c r="W495" s="5"/>
      <c r="X495" s="5"/>
      <c r="Y495" s="5"/>
    </row>
    <row r="496" ht="15.75" customHeight="1">
      <c r="T496" s="5"/>
      <c r="W496" s="5"/>
      <c r="X496" s="5"/>
      <c r="Y496" s="5"/>
    </row>
    <row r="497" ht="15.75" customHeight="1">
      <c r="T497" s="5"/>
      <c r="W497" s="5"/>
      <c r="X497" s="5"/>
      <c r="Y497" s="5"/>
    </row>
    <row r="498" ht="15.75" customHeight="1">
      <c r="T498" s="5"/>
      <c r="W498" s="5"/>
      <c r="X498" s="5"/>
      <c r="Y498" s="5"/>
    </row>
    <row r="499" ht="15.75" customHeight="1">
      <c r="T499" s="5"/>
      <c r="W499" s="5"/>
      <c r="X499" s="5"/>
      <c r="Y499" s="5"/>
    </row>
    <row r="500" ht="15.75" customHeight="1">
      <c r="T500" s="5"/>
      <c r="W500" s="5"/>
      <c r="X500" s="5"/>
      <c r="Y500" s="5"/>
    </row>
    <row r="501" ht="15.75" customHeight="1">
      <c r="T501" s="5"/>
      <c r="W501" s="5"/>
      <c r="X501" s="5"/>
      <c r="Y501" s="5"/>
    </row>
    <row r="502" ht="15.75" customHeight="1">
      <c r="T502" s="5"/>
      <c r="W502" s="5"/>
      <c r="X502" s="5"/>
      <c r="Y502" s="5"/>
    </row>
    <row r="503" ht="15.75" customHeight="1">
      <c r="T503" s="5"/>
      <c r="W503" s="5"/>
      <c r="X503" s="5"/>
      <c r="Y503" s="5"/>
    </row>
    <row r="504" ht="15.75" customHeight="1">
      <c r="T504" s="5"/>
      <c r="W504" s="5"/>
      <c r="X504" s="5"/>
      <c r="Y504" s="5"/>
    </row>
    <row r="505" ht="15.75" customHeight="1">
      <c r="T505" s="5"/>
      <c r="W505" s="5"/>
      <c r="X505" s="5"/>
      <c r="Y505" s="5"/>
    </row>
    <row r="506" ht="15.75" customHeight="1">
      <c r="T506" s="5"/>
      <c r="W506" s="5"/>
      <c r="X506" s="5"/>
      <c r="Y506" s="5"/>
    </row>
    <row r="507" ht="15.75" customHeight="1">
      <c r="T507" s="5"/>
      <c r="W507" s="5"/>
      <c r="X507" s="5"/>
      <c r="Y507" s="5"/>
    </row>
    <row r="508" ht="15.75" customHeight="1">
      <c r="T508" s="5"/>
      <c r="W508" s="5"/>
      <c r="X508" s="5"/>
      <c r="Y508" s="5"/>
    </row>
    <row r="509" ht="15.75" customHeight="1">
      <c r="T509" s="5"/>
      <c r="W509" s="5"/>
      <c r="X509" s="5"/>
      <c r="Y509" s="5"/>
    </row>
    <row r="510" ht="15.75" customHeight="1">
      <c r="T510" s="5"/>
      <c r="W510" s="5"/>
      <c r="X510" s="5"/>
      <c r="Y510" s="5"/>
    </row>
    <row r="511" ht="15.75" customHeight="1">
      <c r="T511" s="5"/>
      <c r="W511" s="5"/>
      <c r="X511" s="5"/>
      <c r="Y511" s="5"/>
    </row>
    <row r="512" ht="15.75" customHeight="1">
      <c r="T512" s="5"/>
      <c r="W512" s="5"/>
      <c r="X512" s="5"/>
      <c r="Y512" s="5"/>
    </row>
    <row r="513" ht="15.75" customHeight="1">
      <c r="T513" s="5"/>
      <c r="W513" s="5"/>
      <c r="X513" s="5"/>
      <c r="Y513" s="5"/>
    </row>
    <row r="514" ht="15.75" customHeight="1">
      <c r="T514" s="5"/>
      <c r="W514" s="5"/>
      <c r="X514" s="5"/>
      <c r="Y514" s="5"/>
    </row>
    <row r="515" ht="15.75" customHeight="1">
      <c r="T515" s="5"/>
      <c r="W515" s="5"/>
      <c r="X515" s="5"/>
      <c r="Y515" s="5"/>
    </row>
    <row r="516" ht="15.75" customHeight="1">
      <c r="T516" s="5"/>
      <c r="W516" s="5"/>
      <c r="X516" s="5"/>
      <c r="Y516" s="5"/>
    </row>
    <row r="517" ht="15.75" customHeight="1">
      <c r="T517" s="5"/>
      <c r="W517" s="5"/>
      <c r="X517" s="5"/>
      <c r="Y517" s="5"/>
    </row>
    <row r="518" ht="15.75" customHeight="1">
      <c r="T518" s="5"/>
      <c r="W518" s="5"/>
      <c r="X518" s="5"/>
      <c r="Y518" s="5"/>
    </row>
    <row r="519" ht="15.75" customHeight="1">
      <c r="T519" s="5"/>
      <c r="W519" s="5"/>
      <c r="X519" s="5"/>
      <c r="Y519" s="5"/>
    </row>
    <row r="520" ht="15.75" customHeight="1">
      <c r="T520" s="5"/>
      <c r="W520" s="5"/>
      <c r="X520" s="5"/>
      <c r="Y520" s="5"/>
    </row>
    <row r="521" ht="15.75" customHeight="1">
      <c r="T521" s="5"/>
      <c r="W521" s="5"/>
      <c r="X521" s="5"/>
      <c r="Y521" s="5"/>
    </row>
    <row r="522" ht="15.75" customHeight="1">
      <c r="T522" s="5"/>
      <c r="W522" s="5"/>
      <c r="X522" s="5"/>
      <c r="Y522" s="5"/>
    </row>
    <row r="523" ht="15.75" customHeight="1">
      <c r="T523" s="5"/>
      <c r="W523" s="5"/>
      <c r="X523" s="5"/>
      <c r="Y523" s="5"/>
    </row>
    <row r="524" ht="15.75" customHeight="1">
      <c r="T524" s="5"/>
      <c r="W524" s="5"/>
      <c r="X524" s="5"/>
      <c r="Y524" s="5"/>
    </row>
    <row r="525" ht="15.75" customHeight="1">
      <c r="T525" s="5"/>
      <c r="W525" s="5"/>
      <c r="X525" s="5"/>
      <c r="Y525" s="5"/>
    </row>
    <row r="526" ht="15.75" customHeight="1">
      <c r="T526" s="5"/>
      <c r="W526" s="5"/>
      <c r="X526" s="5"/>
      <c r="Y526" s="5"/>
    </row>
    <row r="527" ht="15.75" customHeight="1">
      <c r="T527" s="5"/>
      <c r="W527" s="5"/>
      <c r="X527" s="5"/>
      <c r="Y527" s="5"/>
    </row>
    <row r="528" ht="15.75" customHeight="1">
      <c r="T528" s="5"/>
      <c r="W528" s="5"/>
      <c r="X528" s="5"/>
      <c r="Y528" s="5"/>
    </row>
    <row r="529" ht="15.75" customHeight="1">
      <c r="T529" s="5"/>
      <c r="W529" s="5"/>
      <c r="X529" s="5"/>
      <c r="Y529" s="5"/>
    </row>
    <row r="530" ht="15.75" customHeight="1">
      <c r="T530" s="5"/>
      <c r="W530" s="5"/>
      <c r="X530" s="5"/>
      <c r="Y530" s="5"/>
    </row>
    <row r="531" ht="15.75" customHeight="1">
      <c r="T531" s="5"/>
      <c r="W531" s="5"/>
      <c r="X531" s="5"/>
      <c r="Y531" s="5"/>
    </row>
    <row r="532" ht="15.75" customHeight="1">
      <c r="T532" s="5"/>
      <c r="W532" s="5"/>
      <c r="X532" s="5"/>
      <c r="Y532" s="5"/>
    </row>
    <row r="533" ht="15.75" customHeight="1">
      <c r="T533" s="5"/>
      <c r="W533" s="5"/>
      <c r="X533" s="5"/>
      <c r="Y533" s="5"/>
    </row>
    <row r="534" ht="15.75" customHeight="1">
      <c r="T534" s="5"/>
      <c r="W534" s="5"/>
      <c r="X534" s="5"/>
      <c r="Y534" s="5"/>
    </row>
    <row r="535" ht="15.75" customHeight="1">
      <c r="T535" s="5"/>
      <c r="W535" s="5"/>
      <c r="X535" s="5"/>
      <c r="Y535" s="5"/>
    </row>
    <row r="536" ht="15.75" customHeight="1">
      <c r="T536" s="5"/>
      <c r="W536" s="5"/>
      <c r="X536" s="5"/>
      <c r="Y536" s="5"/>
    </row>
    <row r="537" ht="15.75" customHeight="1">
      <c r="T537" s="5"/>
      <c r="W537" s="5"/>
      <c r="X537" s="5"/>
      <c r="Y537" s="5"/>
    </row>
    <row r="538" ht="15.75" customHeight="1">
      <c r="T538" s="5"/>
      <c r="W538" s="5"/>
      <c r="X538" s="5"/>
      <c r="Y538" s="5"/>
    </row>
    <row r="539" ht="15.75" customHeight="1">
      <c r="T539" s="5"/>
      <c r="W539" s="5"/>
      <c r="X539" s="5"/>
      <c r="Y539" s="5"/>
    </row>
    <row r="540" ht="15.75" customHeight="1">
      <c r="T540" s="5"/>
      <c r="W540" s="5"/>
      <c r="X540" s="5"/>
      <c r="Y540" s="5"/>
    </row>
    <row r="541" ht="15.75" customHeight="1">
      <c r="T541" s="5"/>
      <c r="W541" s="5"/>
      <c r="X541" s="5"/>
      <c r="Y541" s="5"/>
    </row>
    <row r="542" ht="15.75" customHeight="1">
      <c r="T542" s="5"/>
      <c r="W542" s="5"/>
      <c r="X542" s="5"/>
      <c r="Y542" s="5"/>
    </row>
    <row r="543" ht="15.75" customHeight="1">
      <c r="T543" s="5"/>
      <c r="W543" s="5"/>
      <c r="X543" s="5"/>
      <c r="Y543" s="5"/>
    </row>
    <row r="544" ht="15.75" customHeight="1">
      <c r="T544" s="5"/>
      <c r="W544" s="5"/>
      <c r="X544" s="5"/>
      <c r="Y544" s="5"/>
    </row>
    <row r="545" ht="15.75" customHeight="1">
      <c r="T545" s="5"/>
      <c r="W545" s="5"/>
      <c r="X545" s="5"/>
      <c r="Y545" s="5"/>
    </row>
    <row r="546" ht="15.75" customHeight="1">
      <c r="T546" s="5"/>
      <c r="W546" s="5"/>
      <c r="X546" s="5"/>
      <c r="Y546" s="5"/>
    </row>
    <row r="547" ht="15.75" customHeight="1">
      <c r="T547" s="5"/>
      <c r="W547" s="5"/>
      <c r="X547" s="5"/>
      <c r="Y547" s="5"/>
    </row>
    <row r="548" ht="15.75" customHeight="1">
      <c r="T548" s="5"/>
      <c r="W548" s="5"/>
      <c r="X548" s="5"/>
      <c r="Y548" s="5"/>
    </row>
    <row r="549" ht="15.75" customHeight="1">
      <c r="T549" s="5"/>
      <c r="W549" s="5"/>
      <c r="X549" s="5"/>
      <c r="Y549" s="5"/>
    </row>
    <row r="550" ht="15.75" customHeight="1">
      <c r="T550" s="5"/>
      <c r="W550" s="5"/>
      <c r="X550" s="5"/>
      <c r="Y550" s="5"/>
    </row>
    <row r="551" ht="15.75" customHeight="1">
      <c r="T551" s="5"/>
      <c r="W551" s="5"/>
      <c r="X551" s="5"/>
      <c r="Y551" s="5"/>
    </row>
    <row r="552" ht="15.75" customHeight="1">
      <c r="T552" s="5"/>
      <c r="W552" s="5"/>
      <c r="X552" s="5"/>
      <c r="Y552" s="5"/>
    </row>
    <row r="553" ht="15.75" customHeight="1">
      <c r="T553" s="5"/>
      <c r="W553" s="5"/>
      <c r="X553" s="5"/>
      <c r="Y553" s="5"/>
    </row>
    <row r="554" ht="15.75" customHeight="1">
      <c r="T554" s="5"/>
      <c r="W554" s="5"/>
      <c r="X554" s="5"/>
      <c r="Y554" s="5"/>
    </row>
    <row r="555" ht="15.75" customHeight="1">
      <c r="T555" s="5"/>
      <c r="W555" s="5"/>
      <c r="X555" s="5"/>
      <c r="Y555" s="5"/>
    </row>
    <row r="556" ht="15.75" customHeight="1">
      <c r="T556" s="5"/>
      <c r="W556" s="5"/>
      <c r="X556" s="5"/>
      <c r="Y556" s="5"/>
    </row>
    <row r="557" ht="15.75" customHeight="1">
      <c r="T557" s="5"/>
      <c r="W557" s="5"/>
      <c r="X557" s="5"/>
      <c r="Y557" s="5"/>
    </row>
    <row r="558" ht="15.75" customHeight="1">
      <c r="T558" s="5"/>
      <c r="W558" s="5"/>
      <c r="X558" s="5"/>
      <c r="Y558" s="5"/>
    </row>
    <row r="559" ht="15.75" customHeight="1">
      <c r="T559" s="5"/>
      <c r="W559" s="5"/>
      <c r="X559" s="5"/>
      <c r="Y559" s="5"/>
    </row>
    <row r="560" ht="15.75" customHeight="1">
      <c r="T560" s="5"/>
      <c r="W560" s="5"/>
      <c r="X560" s="5"/>
      <c r="Y560" s="5"/>
    </row>
    <row r="561" ht="15.75" customHeight="1">
      <c r="T561" s="5"/>
      <c r="W561" s="5"/>
      <c r="X561" s="5"/>
      <c r="Y561" s="5"/>
    </row>
    <row r="562" ht="15.75" customHeight="1">
      <c r="T562" s="5"/>
      <c r="W562" s="5"/>
      <c r="X562" s="5"/>
      <c r="Y562" s="5"/>
    </row>
    <row r="563" ht="15.75" customHeight="1">
      <c r="T563" s="5"/>
      <c r="W563" s="5"/>
      <c r="X563" s="5"/>
      <c r="Y563" s="5"/>
    </row>
    <row r="564" ht="15.75" customHeight="1">
      <c r="T564" s="5"/>
      <c r="W564" s="5"/>
      <c r="X564" s="5"/>
      <c r="Y564" s="5"/>
    </row>
    <row r="565" ht="15.75" customHeight="1">
      <c r="T565" s="5"/>
      <c r="W565" s="5"/>
      <c r="X565" s="5"/>
      <c r="Y565" s="5"/>
    </row>
    <row r="566" ht="15.75" customHeight="1">
      <c r="T566" s="5"/>
      <c r="W566" s="5"/>
      <c r="X566" s="5"/>
      <c r="Y566" s="5"/>
    </row>
    <row r="567" ht="15.75" customHeight="1">
      <c r="T567" s="5"/>
      <c r="W567" s="5"/>
      <c r="X567" s="5"/>
      <c r="Y567" s="5"/>
    </row>
    <row r="568" ht="15.75" customHeight="1">
      <c r="T568" s="5"/>
      <c r="W568" s="5"/>
      <c r="X568" s="5"/>
      <c r="Y568" s="5"/>
    </row>
    <row r="569" ht="15.75" customHeight="1">
      <c r="T569" s="5"/>
      <c r="W569" s="5"/>
      <c r="X569" s="5"/>
      <c r="Y569" s="5"/>
    </row>
    <row r="570" ht="15.75" customHeight="1">
      <c r="T570" s="5"/>
      <c r="W570" s="5"/>
      <c r="X570" s="5"/>
      <c r="Y570" s="5"/>
    </row>
    <row r="571" ht="15.75" customHeight="1">
      <c r="T571" s="5"/>
      <c r="W571" s="5"/>
      <c r="X571" s="5"/>
      <c r="Y571" s="5"/>
    </row>
    <row r="572" ht="15.75" customHeight="1">
      <c r="T572" s="5"/>
      <c r="W572" s="5"/>
      <c r="X572" s="5"/>
      <c r="Y572" s="5"/>
    </row>
    <row r="573" ht="15.75" customHeight="1">
      <c r="T573" s="5"/>
      <c r="W573" s="5"/>
      <c r="X573" s="5"/>
      <c r="Y573" s="5"/>
    </row>
    <row r="574" ht="15.75" customHeight="1">
      <c r="T574" s="5"/>
      <c r="W574" s="5"/>
      <c r="X574" s="5"/>
      <c r="Y574" s="5"/>
    </row>
    <row r="575" ht="15.75" customHeight="1">
      <c r="T575" s="5"/>
      <c r="W575" s="5"/>
      <c r="X575" s="5"/>
      <c r="Y575" s="5"/>
    </row>
    <row r="576" ht="15.75" customHeight="1">
      <c r="T576" s="5"/>
      <c r="W576" s="5"/>
      <c r="X576" s="5"/>
      <c r="Y576" s="5"/>
    </row>
    <row r="577" ht="15.75" customHeight="1">
      <c r="T577" s="5"/>
      <c r="W577" s="5"/>
      <c r="X577" s="5"/>
      <c r="Y577" s="5"/>
    </row>
    <row r="578" ht="15.75" customHeight="1">
      <c r="T578" s="5"/>
      <c r="W578" s="5"/>
      <c r="X578" s="5"/>
      <c r="Y578" s="5"/>
    </row>
    <row r="579" ht="15.75" customHeight="1">
      <c r="T579" s="5"/>
      <c r="W579" s="5"/>
      <c r="X579" s="5"/>
      <c r="Y579" s="5"/>
    </row>
    <row r="580" ht="15.75" customHeight="1">
      <c r="T580" s="5"/>
      <c r="W580" s="5"/>
      <c r="X580" s="5"/>
      <c r="Y580" s="5"/>
    </row>
    <row r="581" ht="15.75" customHeight="1">
      <c r="T581" s="5"/>
      <c r="W581" s="5"/>
      <c r="X581" s="5"/>
      <c r="Y581" s="5"/>
    </row>
    <row r="582" ht="15.75" customHeight="1">
      <c r="T582" s="5"/>
      <c r="W582" s="5"/>
      <c r="X582" s="5"/>
      <c r="Y582" s="5"/>
    </row>
    <row r="583" ht="15.75" customHeight="1">
      <c r="T583" s="5"/>
      <c r="W583" s="5"/>
      <c r="X583" s="5"/>
      <c r="Y583" s="5"/>
    </row>
    <row r="584" ht="15.75" customHeight="1">
      <c r="T584" s="5"/>
      <c r="W584" s="5"/>
      <c r="X584" s="5"/>
      <c r="Y584" s="5"/>
    </row>
    <row r="585" ht="15.75" customHeight="1">
      <c r="T585" s="5"/>
      <c r="W585" s="5"/>
      <c r="X585" s="5"/>
      <c r="Y585" s="5"/>
    </row>
    <row r="586" ht="15.75" customHeight="1">
      <c r="T586" s="5"/>
      <c r="W586" s="5"/>
      <c r="X586" s="5"/>
      <c r="Y586" s="5"/>
    </row>
    <row r="587" ht="15.75" customHeight="1">
      <c r="T587" s="5"/>
      <c r="W587" s="5"/>
      <c r="X587" s="5"/>
      <c r="Y587" s="5"/>
    </row>
    <row r="588" ht="15.75" customHeight="1">
      <c r="T588" s="5"/>
      <c r="W588" s="5"/>
      <c r="X588" s="5"/>
      <c r="Y588" s="5"/>
    </row>
    <row r="589" ht="15.75" customHeight="1">
      <c r="T589" s="5"/>
      <c r="W589" s="5"/>
      <c r="X589" s="5"/>
      <c r="Y589" s="5"/>
    </row>
    <row r="590" ht="15.75" customHeight="1">
      <c r="T590" s="5"/>
      <c r="W590" s="5"/>
      <c r="X590" s="5"/>
      <c r="Y590" s="5"/>
    </row>
    <row r="591" ht="15.75" customHeight="1">
      <c r="T591" s="5"/>
      <c r="W591" s="5"/>
      <c r="X591" s="5"/>
      <c r="Y591" s="5"/>
    </row>
    <row r="592" ht="15.75" customHeight="1">
      <c r="T592" s="5"/>
      <c r="W592" s="5"/>
      <c r="X592" s="5"/>
      <c r="Y592" s="5"/>
    </row>
    <row r="593" ht="15.75" customHeight="1">
      <c r="T593" s="5"/>
      <c r="W593" s="5"/>
      <c r="X593" s="5"/>
      <c r="Y593" s="5"/>
    </row>
    <row r="594" ht="15.75" customHeight="1">
      <c r="T594" s="5"/>
      <c r="W594" s="5"/>
      <c r="X594" s="5"/>
      <c r="Y594" s="5"/>
    </row>
    <row r="595" ht="15.75" customHeight="1">
      <c r="T595" s="5"/>
      <c r="W595" s="5"/>
      <c r="X595" s="5"/>
      <c r="Y595" s="5"/>
    </row>
    <row r="596" ht="15.75" customHeight="1">
      <c r="T596" s="5"/>
      <c r="W596" s="5"/>
      <c r="X596" s="5"/>
      <c r="Y596" s="5"/>
    </row>
    <row r="597" ht="15.75" customHeight="1">
      <c r="T597" s="5"/>
      <c r="W597" s="5"/>
      <c r="X597" s="5"/>
      <c r="Y597" s="5"/>
    </row>
    <row r="598" ht="15.75" customHeight="1">
      <c r="T598" s="5"/>
      <c r="W598" s="5"/>
      <c r="X598" s="5"/>
      <c r="Y598" s="5"/>
    </row>
    <row r="599" ht="15.75" customHeight="1">
      <c r="T599" s="5"/>
      <c r="W599" s="5"/>
      <c r="X599" s="5"/>
      <c r="Y599" s="5"/>
    </row>
    <row r="600" ht="15.75" customHeight="1">
      <c r="T600" s="5"/>
      <c r="W600" s="5"/>
      <c r="X600" s="5"/>
      <c r="Y600" s="5"/>
    </row>
    <row r="601" ht="15.75" customHeight="1">
      <c r="T601" s="5"/>
      <c r="W601" s="5"/>
      <c r="X601" s="5"/>
      <c r="Y601" s="5"/>
    </row>
    <row r="602" ht="15.75" customHeight="1">
      <c r="T602" s="5"/>
      <c r="W602" s="5"/>
      <c r="X602" s="5"/>
      <c r="Y602" s="5"/>
    </row>
    <row r="603" ht="15.75" customHeight="1">
      <c r="T603" s="5"/>
      <c r="W603" s="5"/>
      <c r="X603" s="5"/>
      <c r="Y603" s="5"/>
    </row>
    <row r="604" ht="15.75" customHeight="1">
      <c r="T604" s="5"/>
      <c r="W604" s="5"/>
      <c r="X604" s="5"/>
      <c r="Y604" s="5"/>
    </row>
    <row r="605" ht="15.75" customHeight="1">
      <c r="T605" s="5"/>
      <c r="W605" s="5"/>
      <c r="X605" s="5"/>
      <c r="Y605" s="5"/>
    </row>
    <row r="606" ht="15.75" customHeight="1">
      <c r="T606" s="5"/>
      <c r="W606" s="5"/>
      <c r="X606" s="5"/>
      <c r="Y606" s="5"/>
    </row>
    <row r="607" ht="15.75" customHeight="1">
      <c r="T607" s="5"/>
      <c r="W607" s="5"/>
      <c r="X607" s="5"/>
      <c r="Y607" s="5"/>
    </row>
    <row r="608" ht="15.75" customHeight="1">
      <c r="T608" s="5"/>
      <c r="W608" s="5"/>
      <c r="X608" s="5"/>
      <c r="Y608" s="5"/>
    </row>
    <row r="609" ht="15.75" customHeight="1">
      <c r="T609" s="5"/>
      <c r="W609" s="5"/>
      <c r="X609" s="5"/>
      <c r="Y609" s="5"/>
    </row>
    <row r="610" ht="15.75" customHeight="1">
      <c r="T610" s="5"/>
      <c r="W610" s="5"/>
      <c r="X610" s="5"/>
      <c r="Y610" s="5"/>
    </row>
    <row r="611" ht="15.75" customHeight="1">
      <c r="T611" s="5"/>
      <c r="W611" s="5"/>
      <c r="X611" s="5"/>
      <c r="Y611" s="5"/>
    </row>
    <row r="612" ht="15.75" customHeight="1">
      <c r="T612" s="5"/>
      <c r="W612" s="5"/>
      <c r="X612" s="5"/>
      <c r="Y612" s="5"/>
    </row>
    <row r="613" ht="15.75" customHeight="1">
      <c r="T613" s="5"/>
      <c r="W613" s="5"/>
      <c r="X613" s="5"/>
      <c r="Y613" s="5"/>
    </row>
    <row r="614" ht="15.75" customHeight="1">
      <c r="T614" s="5"/>
      <c r="W614" s="5"/>
      <c r="X614" s="5"/>
      <c r="Y614" s="5"/>
    </row>
    <row r="615" ht="15.75" customHeight="1">
      <c r="T615" s="5"/>
      <c r="W615" s="5"/>
      <c r="X615" s="5"/>
      <c r="Y615" s="5"/>
    </row>
    <row r="616" ht="15.75" customHeight="1">
      <c r="T616" s="5"/>
      <c r="W616" s="5"/>
      <c r="X616" s="5"/>
      <c r="Y616" s="5"/>
    </row>
    <row r="617" ht="15.75" customHeight="1">
      <c r="T617" s="5"/>
      <c r="W617" s="5"/>
      <c r="X617" s="5"/>
      <c r="Y617" s="5"/>
    </row>
    <row r="618" ht="15.75" customHeight="1">
      <c r="T618" s="5"/>
      <c r="W618" s="5"/>
      <c r="X618" s="5"/>
      <c r="Y618" s="5"/>
    </row>
    <row r="619" ht="15.75" customHeight="1">
      <c r="T619" s="5"/>
      <c r="W619" s="5"/>
      <c r="X619" s="5"/>
      <c r="Y619" s="5"/>
    </row>
    <row r="620" ht="15.75" customHeight="1">
      <c r="T620" s="5"/>
      <c r="W620" s="5"/>
      <c r="X620" s="5"/>
      <c r="Y620" s="5"/>
    </row>
    <row r="621" ht="15.75" customHeight="1">
      <c r="T621" s="5"/>
      <c r="W621" s="5"/>
      <c r="X621" s="5"/>
      <c r="Y621" s="5"/>
    </row>
    <row r="622" ht="15.75" customHeight="1">
      <c r="T622" s="5"/>
      <c r="W622" s="5"/>
      <c r="X622" s="5"/>
      <c r="Y622" s="5"/>
    </row>
    <row r="623" ht="15.75" customHeight="1">
      <c r="T623" s="5"/>
      <c r="W623" s="5"/>
      <c r="X623" s="5"/>
      <c r="Y623" s="5"/>
    </row>
    <row r="624" ht="15.75" customHeight="1">
      <c r="T624" s="5"/>
      <c r="W624" s="5"/>
      <c r="X624" s="5"/>
      <c r="Y624" s="5"/>
    </row>
    <row r="625" ht="15.75" customHeight="1">
      <c r="T625" s="5"/>
      <c r="W625" s="5"/>
      <c r="X625" s="5"/>
      <c r="Y625" s="5"/>
    </row>
    <row r="626" ht="15.75" customHeight="1">
      <c r="T626" s="5"/>
      <c r="W626" s="5"/>
      <c r="X626" s="5"/>
      <c r="Y626" s="5"/>
    </row>
    <row r="627" ht="15.75" customHeight="1">
      <c r="T627" s="5"/>
      <c r="W627" s="5"/>
      <c r="X627" s="5"/>
      <c r="Y627" s="5"/>
    </row>
    <row r="628" ht="15.75" customHeight="1">
      <c r="T628" s="5"/>
      <c r="W628" s="5"/>
      <c r="X628" s="5"/>
      <c r="Y628" s="5"/>
    </row>
    <row r="629" ht="15.75" customHeight="1">
      <c r="T629" s="5"/>
      <c r="W629" s="5"/>
      <c r="X629" s="5"/>
      <c r="Y629" s="5"/>
    </row>
    <row r="630" ht="15.75" customHeight="1">
      <c r="T630" s="5"/>
      <c r="W630" s="5"/>
      <c r="X630" s="5"/>
      <c r="Y630" s="5"/>
    </row>
    <row r="631" ht="15.75" customHeight="1">
      <c r="T631" s="5"/>
      <c r="W631" s="5"/>
      <c r="X631" s="5"/>
      <c r="Y631" s="5"/>
    </row>
    <row r="632" ht="15.75" customHeight="1">
      <c r="T632" s="5"/>
      <c r="W632" s="5"/>
      <c r="X632" s="5"/>
      <c r="Y632" s="5"/>
    </row>
    <row r="633" ht="15.75" customHeight="1">
      <c r="T633" s="5"/>
      <c r="W633" s="5"/>
      <c r="X633" s="5"/>
      <c r="Y633" s="5"/>
    </row>
    <row r="634" ht="15.75" customHeight="1">
      <c r="T634" s="5"/>
      <c r="W634" s="5"/>
      <c r="X634" s="5"/>
      <c r="Y634" s="5"/>
    </row>
    <row r="635" ht="15.75" customHeight="1">
      <c r="T635" s="5"/>
      <c r="W635" s="5"/>
      <c r="X635" s="5"/>
      <c r="Y635" s="5"/>
    </row>
    <row r="636" ht="15.75" customHeight="1">
      <c r="T636" s="5"/>
      <c r="W636" s="5"/>
      <c r="X636" s="5"/>
      <c r="Y636" s="5"/>
    </row>
    <row r="637" ht="15.75" customHeight="1">
      <c r="T637" s="5"/>
      <c r="W637" s="5"/>
      <c r="X637" s="5"/>
      <c r="Y637" s="5"/>
    </row>
    <row r="638" ht="15.75" customHeight="1">
      <c r="T638" s="5"/>
      <c r="W638" s="5"/>
      <c r="X638" s="5"/>
      <c r="Y638" s="5"/>
    </row>
    <row r="639" ht="15.75" customHeight="1">
      <c r="T639" s="5"/>
      <c r="W639" s="5"/>
      <c r="X639" s="5"/>
      <c r="Y639" s="5"/>
    </row>
    <row r="640" ht="15.75" customHeight="1">
      <c r="T640" s="5"/>
      <c r="W640" s="5"/>
      <c r="X640" s="5"/>
      <c r="Y640" s="5"/>
    </row>
    <row r="641" ht="15.75" customHeight="1">
      <c r="T641" s="5"/>
      <c r="W641" s="5"/>
      <c r="X641" s="5"/>
      <c r="Y641" s="5"/>
    </row>
    <row r="642" ht="15.75" customHeight="1">
      <c r="T642" s="5"/>
      <c r="W642" s="5"/>
      <c r="X642" s="5"/>
      <c r="Y642" s="5"/>
    </row>
    <row r="643" ht="15.75" customHeight="1">
      <c r="T643" s="5"/>
      <c r="W643" s="5"/>
      <c r="X643" s="5"/>
      <c r="Y643" s="5"/>
    </row>
    <row r="644" ht="15.75" customHeight="1">
      <c r="T644" s="5"/>
      <c r="W644" s="5"/>
      <c r="X644" s="5"/>
      <c r="Y644" s="5"/>
    </row>
    <row r="645" ht="15.75" customHeight="1">
      <c r="T645" s="5"/>
      <c r="W645" s="5"/>
      <c r="X645" s="5"/>
      <c r="Y645" s="5"/>
    </row>
    <row r="646" ht="15.75" customHeight="1">
      <c r="T646" s="5"/>
      <c r="W646" s="5"/>
      <c r="X646" s="5"/>
      <c r="Y646" s="5"/>
    </row>
    <row r="647" ht="15.75" customHeight="1">
      <c r="T647" s="5"/>
      <c r="W647" s="5"/>
      <c r="X647" s="5"/>
      <c r="Y647" s="5"/>
    </row>
    <row r="648" ht="15.75" customHeight="1">
      <c r="T648" s="5"/>
      <c r="W648" s="5"/>
      <c r="X648" s="5"/>
      <c r="Y648" s="5"/>
    </row>
    <row r="649" ht="15.75" customHeight="1">
      <c r="T649" s="5"/>
      <c r="W649" s="5"/>
      <c r="X649" s="5"/>
      <c r="Y649" s="5"/>
    </row>
    <row r="650" ht="15.75" customHeight="1">
      <c r="T650" s="5"/>
      <c r="W650" s="5"/>
      <c r="X650" s="5"/>
      <c r="Y650" s="5"/>
    </row>
    <row r="651" ht="15.75" customHeight="1">
      <c r="T651" s="5"/>
      <c r="W651" s="5"/>
      <c r="X651" s="5"/>
      <c r="Y651" s="5"/>
    </row>
    <row r="652" ht="15.75" customHeight="1">
      <c r="T652" s="5"/>
      <c r="W652" s="5"/>
      <c r="X652" s="5"/>
      <c r="Y652" s="5"/>
    </row>
    <row r="653" ht="15.75" customHeight="1">
      <c r="T653" s="5"/>
      <c r="W653" s="5"/>
      <c r="X653" s="5"/>
      <c r="Y653" s="5"/>
    </row>
    <row r="654" ht="15.75" customHeight="1">
      <c r="T654" s="5"/>
      <c r="W654" s="5"/>
      <c r="X654" s="5"/>
      <c r="Y654" s="5"/>
    </row>
    <row r="655" ht="15.75" customHeight="1">
      <c r="T655" s="5"/>
      <c r="W655" s="5"/>
      <c r="X655" s="5"/>
      <c r="Y655" s="5"/>
    </row>
    <row r="656" ht="15.75" customHeight="1">
      <c r="T656" s="5"/>
      <c r="W656" s="5"/>
      <c r="X656" s="5"/>
      <c r="Y656" s="5"/>
    </row>
    <row r="657" ht="15.75" customHeight="1">
      <c r="T657" s="5"/>
      <c r="W657" s="5"/>
      <c r="X657" s="5"/>
      <c r="Y657" s="5"/>
    </row>
    <row r="658" ht="15.75" customHeight="1">
      <c r="T658" s="5"/>
      <c r="W658" s="5"/>
      <c r="X658" s="5"/>
      <c r="Y658" s="5"/>
    </row>
    <row r="659" ht="15.75" customHeight="1">
      <c r="T659" s="5"/>
      <c r="W659" s="5"/>
      <c r="X659" s="5"/>
      <c r="Y659" s="5"/>
    </row>
    <row r="660" ht="15.75" customHeight="1">
      <c r="T660" s="5"/>
      <c r="W660" s="5"/>
      <c r="X660" s="5"/>
      <c r="Y660" s="5"/>
    </row>
    <row r="661" ht="15.75" customHeight="1">
      <c r="T661" s="5"/>
      <c r="W661" s="5"/>
      <c r="X661" s="5"/>
      <c r="Y661" s="5"/>
    </row>
    <row r="662" ht="15.75" customHeight="1">
      <c r="T662" s="5"/>
      <c r="W662" s="5"/>
      <c r="X662" s="5"/>
      <c r="Y662" s="5"/>
    </row>
    <row r="663" ht="15.75" customHeight="1">
      <c r="T663" s="5"/>
      <c r="W663" s="5"/>
      <c r="X663" s="5"/>
      <c r="Y663" s="5"/>
    </row>
    <row r="664" ht="15.75" customHeight="1">
      <c r="T664" s="5"/>
      <c r="W664" s="5"/>
      <c r="X664" s="5"/>
      <c r="Y664" s="5"/>
    </row>
    <row r="665" ht="15.75" customHeight="1">
      <c r="T665" s="5"/>
      <c r="W665" s="5"/>
      <c r="X665" s="5"/>
      <c r="Y665" s="5"/>
    </row>
    <row r="666" ht="15.75" customHeight="1">
      <c r="T666" s="5"/>
      <c r="W666" s="5"/>
      <c r="X666" s="5"/>
      <c r="Y666" s="5"/>
    </row>
    <row r="667" ht="15.75" customHeight="1">
      <c r="T667" s="5"/>
      <c r="W667" s="5"/>
      <c r="X667" s="5"/>
      <c r="Y667" s="5"/>
    </row>
    <row r="668" ht="15.75" customHeight="1">
      <c r="T668" s="5"/>
      <c r="W668" s="5"/>
      <c r="X668" s="5"/>
      <c r="Y668" s="5"/>
    </row>
    <row r="669" ht="15.75" customHeight="1">
      <c r="T669" s="5"/>
      <c r="W669" s="5"/>
      <c r="X669" s="5"/>
      <c r="Y669" s="5"/>
    </row>
    <row r="670" ht="15.75" customHeight="1">
      <c r="T670" s="5"/>
      <c r="W670" s="5"/>
      <c r="X670" s="5"/>
      <c r="Y670" s="5"/>
    </row>
    <row r="671" ht="15.75" customHeight="1">
      <c r="T671" s="5"/>
      <c r="W671" s="5"/>
      <c r="X671" s="5"/>
      <c r="Y671" s="5"/>
    </row>
    <row r="672" ht="15.75" customHeight="1">
      <c r="T672" s="5"/>
      <c r="W672" s="5"/>
      <c r="X672" s="5"/>
      <c r="Y672" s="5"/>
    </row>
    <row r="673" ht="15.75" customHeight="1">
      <c r="T673" s="5"/>
      <c r="W673" s="5"/>
      <c r="X673" s="5"/>
      <c r="Y673" s="5"/>
    </row>
    <row r="674" ht="15.75" customHeight="1">
      <c r="T674" s="5"/>
      <c r="W674" s="5"/>
      <c r="X674" s="5"/>
      <c r="Y674" s="5"/>
    </row>
    <row r="675" ht="15.75" customHeight="1">
      <c r="T675" s="5"/>
      <c r="W675" s="5"/>
      <c r="X675" s="5"/>
      <c r="Y675" s="5"/>
    </row>
    <row r="676" ht="15.75" customHeight="1">
      <c r="T676" s="5"/>
      <c r="W676" s="5"/>
      <c r="X676" s="5"/>
      <c r="Y676" s="5"/>
    </row>
    <row r="677" ht="15.75" customHeight="1">
      <c r="T677" s="5"/>
      <c r="W677" s="5"/>
      <c r="X677" s="5"/>
      <c r="Y677" s="5"/>
    </row>
    <row r="678" ht="15.75" customHeight="1">
      <c r="T678" s="5"/>
      <c r="W678" s="5"/>
      <c r="X678" s="5"/>
      <c r="Y678" s="5"/>
    </row>
    <row r="679" ht="15.75" customHeight="1">
      <c r="T679" s="5"/>
      <c r="W679" s="5"/>
      <c r="X679" s="5"/>
      <c r="Y679" s="5"/>
    </row>
    <row r="680" ht="15.75" customHeight="1">
      <c r="T680" s="5"/>
      <c r="W680" s="5"/>
      <c r="X680" s="5"/>
      <c r="Y680" s="5"/>
    </row>
    <row r="681" ht="15.75" customHeight="1">
      <c r="T681" s="5"/>
      <c r="W681" s="5"/>
      <c r="X681" s="5"/>
      <c r="Y681" s="5"/>
    </row>
    <row r="682" ht="15.75" customHeight="1">
      <c r="T682" s="5"/>
      <c r="W682" s="5"/>
      <c r="X682" s="5"/>
      <c r="Y682" s="5"/>
    </row>
    <row r="683" ht="15.75" customHeight="1">
      <c r="T683" s="5"/>
      <c r="W683" s="5"/>
      <c r="X683" s="5"/>
      <c r="Y683" s="5"/>
    </row>
    <row r="684" ht="15.75" customHeight="1">
      <c r="T684" s="5"/>
      <c r="W684" s="5"/>
      <c r="X684" s="5"/>
      <c r="Y684" s="5"/>
    </row>
    <row r="685" ht="15.75" customHeight="1">
      <c r="T685" s="5"/>
      <c r="W685" s="5"/>
      <c r="X685" s="5"/>
      <c r="Y685" s="5"/>
    </row>
    <row r="686" ht="15.75" customHeight="1">
      <c r="T686" s="5"/>
      <c r="W686" s="5"/>
      <c r="X686" s="5"/>
      <c r="Y686" s="5"/>
    </row>
    <row r="687" ht="15.75" customHeight="1">
      <c r="T687" s="5"/>
      <c r="W687" s="5"/>
      <c r="X687" s="5"/>
      <c r="Y687" s="5"/>
    </row>
    <row r="688" ht="15.75" customHeight="1">
      <c r="T688" s="5"/>
      <c r="W688" s="5"/>
      <c r="X688" s="5"/>
      <c r="Y688" s="5"/>
    </row>
    <row r="689" ht="15.75" customHeight="1">
      <c r="T689" s="5"/>
      <c r="W689" s="5"/>
      <c r="X689" s="5"/>
      <c r="Y689" s="5"/>
    </row>
    <row r="690" ht="15.75" customHeight="1">
      <c r="T690" s="5"/>
      <c r="W690" s="5"/>
      <c r="X690" s="5"/>
      <c r="Y690" s="5"/>
    </row>
    <row r="691" ht="15.75" customHeight="1">
      <c r="T691" s="5"/>
      <c r="W691" s="5"/>
      <c r="X691" s="5"/>
      <c r="Y691" s="5"/>
    </row>
    <row r="692" ht="15.75" customHeight="1">
      <c r="T692" s="5"/>
      <c r="W692" s="5"/>
      <c r="X692" s="5"/>
      <c r="Y692" s="5"/>
    </row>
    <row r="693" ht="15.75" customHeight="1">
      <c r="T693" s="5"/>
      <c r="W693" s="5"/>
      <c r="X693" s="5"/>
      <c r="Y693" s="5"/>
    </row>
    <row r="694" ht="15.75" customHeight="1">
      <c r="T694" s="5"/>
      <c r="W694" s="5"/>
      <c r="X694" s="5"/>
      <c r="Y694" s="5"/>
    </row>
    <row r="695" ht="15.75" customHeight="1">
      <c r="T695" s="5"/>
      <c r="W695" s="5"/>
      <c r="X695" s="5"/>
      <c r="Y695" s="5"/>
    </row>
    <row r="696" ht="15.75" customHeight="1">
      <c r="T696" s="5"/>
      <c r="W696" s="5"/>
      <c r="X696" s="5"/>
      <c r="Y696" s="5"/>
    </row>
    <row r="697" ht="15.75" customHeight="1">
      <c r="T697" s="5"/>
      <c r="W697" s="5"/>
      <c r="X697" s="5"/>
      <c r="Y697" s="5"/>
    </row>
    <row r="698" ht="15.75" customHeight="1">
      <c r="T698" s="5"/>
      <c r="W698" s="5"/>
      <c r="X698" s="5"/>
      <c r="Y698" s="5"/>
    </row>
    <row r="699" ht="15.75" customHeight="1">
      <c r="T699" s="5"/>
      <c r="W699" s="5"/>
      <c r="X699" s="5"/>
      <c r="Y699" s="5"/>
    </row>
    <row r="700" ht="15.75" customHeight="1">
      <c r="T700" s="5"/>
      <c r="W700" s="5"/>
      <c r="X700" s="5"/>
      <c r="Y700" s="5"/>
    </row>
    <row r="701" ht="15.75" customHeight="1">
      <c r="T701" s="5"/>
      <c r="W701" s="5"/>
      <c r="X701" s="5"/>
      <c r="Y701" s="5"/>
    </row>
    <row r="702" ht="15.75" customHeight="1">
      <c r="T702" s="5"/>
      <c r="W702" s="5"/>
      <c r="X702" s="5"/>
      <c r="Y702" s="5"/>
    </row>
    <row r="703" ht="15.75" customHeight="1">
      <c r="T703" s="5"/>
      <c r="W703" s="5"/>
      <c r="X703" s="5"/>
      <c r="Y703" s="5"/>
    </row>
    <row r="704" ht="15.75" customHeight="1">
      <c r="T704" s="5"/>
      <c r="W704" s="5"/>
      <c r="X704" s="5"/>
      <c r="Y704" s="5"/>
    </row>
    <row r="705" ht="15.75" customHeight="1">
      <c r="T705" s="5"/>
      <c r="W705" s="5"/>
      <c r="X705" s="5"/>
      <c r="Y705" s="5"/>
    </row>
    <row r="706" ht="15.75" customHeight="1">
      <c r="T706" s="5"/>
      <c r="W706" s="5"/>
      <c r="X706" s="5"/>
      <c r="Y706" s="5"/>
    </row>
    <row r="707" ht="15.75" customHeight="1">
      <c r="T707" s="5"/>
      <c r="W707" s="5"/>
      <c r="X707" s="5"/>
      <c r="Y707" s="5"/>
    </row>
    <row r="708" ht="15.75" customHeight="1">
      <c r="T708" s="5"/>
      <c r="W708" s="5"/>
      <c r="X708" s="5"/>
      <c r="Y708" s="5"/>
    </row>
    <row r="709" ht="15.75" customHeight="1">
      <c r="T709" s="5"/>
      <c r="W709" s="5"/>
      <c r="X709" s="5"/>
      <c r="Y709" s="5"/>
    </row>
    <row r="710" ht="15.75" customHeight="1">
      <c r="T710" s="5"/>
      <c r="W710" s="5"/>
      <c r="X710" s="5"/>
      <c r="Y710" s="5"/>
    </row>
    <row r="711" ht="15.75" customHeight="1">
      <c r="T711" s="5"/>
      <c r="W711" s="5"/>
      <c r="X711" s="5"/>
      <c r="Y711" s="5"/>
    </row>
    <row r="712" ht="15.75" customHeight="1">
      <c r="T712" s="5"/>
      <c r="W712" s="5"/>
      <c r="X712" s="5"/>
      <c r="Y712" s="5"/>
    </row>
    <row r="713" ht="15.75" customHeight="1">
      <c r="T713" s="5"/>
      <c r="W713" s="5"/>
      <c r="X713" s="5"/>
      <c r="Y713" s="5"/>
    </row>
    <row r="714" ht="15.75" customHeight="1">
      <c r="T714" s="5"/>
      <c r="W714" s="5"/>
      <c r="X714" s="5"/>
      <c r="Y714" s="5"/>
    </row>
    <row r="715" ht="15.75" customHeight="1">
      <c r="T715" s="5"/>
      <c r="W715" s="5"/>
      <c r="X715" s="5"/>
      <c r="Y715" s="5"/>
    </row>
    <row r="716" ht="15.75" customHeight="1">
      <c r="T716" s="5"/>
      <c r="W716" s="5"/>
      <c r="X716" s="5"/>
      <c r="Y716" s="5"/>
    </row>
    <row r="717" ht="15.75" customHeight="1">
      <c r="T717" s="5"/>
      <c r="W717" s="5"/>
      <c r="X717" s="5"/>
      <c r="Y717" s="5"/>
    </row>
    <row r="718" ht="15.75" customHeight="1">
      <c r="T718" s="5"/>
      <c r="W718" s="5"/>
      <c r="X718" s="5"/>
      <c r="Y718" s="5"/>
    </row>
    <row r="719" ht="15.75" customHeight="1">
      <c r="T719" s="5"/>
      <c r="W719" s="5"/>
      <c r="X719" s="5"/>
      <c r="Y719" s="5"/>
    </row>
    <row r="720" ht="15.75" customHeight="1">
      <c r="T720" s="5"/>
      <c r="W720" s="5"/>
      <c r="X720" s="5"/>
      <c r="Y720" s="5"/>
    </row>
    <row r="721" ht="15.75" customHeight="1">
      <c r="T721" s="5"/>
      <c r="W721" s="5"/>
      <c r="X721" s="5"/>
      <c r="Y721" s="5"/>
    </row>
    <row r="722" ht="15.75" customHeight="1">
      <c r="T722" s="5"/>
      <c r="W722" s="5"/>
      <c r="X722" s="5"/>
      <c r="Y722" s="5"/>
    </row>
    <row r="723" ht="15.75" customHeight="1">
      <c r="T723" s="5"/>
      <c r="W723" s="5"/>
      <c r="X723" s="5"/>
      <c r="Y723" s="5"/>
    </row>
    <row r="724" ht="15.75" customHeight="1">
      <c r="T724" s="5"/>
      <c r="W724" s="5"/>
      <c r="X724" s="5"/>
      <c r="Y724" s="5"/>
    </row>
    <row r="725" ht="15.75" customHeight="1">
      <c r="T725" s="5"/>
      <c r="W725" s="5"/>
      <c r="X725" s="5"/>
      <c r="Y725" s="5"/>
    </row>
    <row r="726" ht="15.75" customHeight="1">
      <c r="T726" s="5"/>
      <c r="W726" s="5"/>
      <c r="X726" s="5"/>
      <c r="Y726" s="5"/>
    </row>
    <row r="727" ht="15.75" customHeight="1">
      <c r="T727" s="5"/>
      <c r="W727" s="5"/>
      <c r="X727" s="5"/>
      <c r="Y727" s="5"/>
    </row>
    <row r="728" ht="15.75" customHeight="1">
      <c r="T728" s="5"/>
      <c r="W728" s="5"/>
      <c r="X728" s="5"/>
      <c r="Y728" s="5"/>
    </row>
    <row r="729" ht="15.75" customHeight="1">
      <c r="T729" s="5"/>
      <c r="W729" s="5"/>
      <c r="X729" s="5"/>
      <c r="Y729" s="5"/>
    </row>
    <row r="730" ht="15.75" customHeight="1">
      <c r="T730" s="5"/>
      <c r="W730" s="5"/>
      <c r="X730" s="5"/>
      <c r="Y730" s="5"/>
    </row>
    <row r="731" ht="15.75" customHeight="1">
      <c r="T731" s="5"/>
      <c r="W731" s="5"/>
      <c r="X731" s="5"/>
      <c r="Y731" s="5"/>
    </row>
    <row r="732" ht="15.75" customHeight="1">
      <c r="T732" s="5"/>
      <c r="W732" s="5"/>
      <c r="X732" s="5"/>
      <c r="Y732" s="5"/>
    </row>
    <row r="733" ht="15.75" customHeight="1">
      <c r="T733" s="5"/>
      <c r="W733" s="5"/>
      <c r="X733" s="5"/>
      <c r="Y733" s="5"/>
    </row>
    <row r="734" ht="15.75" customHeight="1">
      <c r="T734" s="5"/>
      <c r="W734" s="5"/>
      <c r="X734" s="5"/>
      <c r="Y734" s="5"/>
    </row>
    <row r="735" ht="15.75" customHeight="1">
      <c r="T735" s="5"/>
      <c r="W735" s="5"/>
      <c r="X735" s="5"/>
      <c r="Y735" s="5"/>
    </row>
    <row r="736" ht="15.75" customHeight="1">
      <c r="T736" s="5"/>
      <c r="W736" s="5"/>
      <c r="X736" s="5"/>
      <c r="Y736" s="5"/>
    </row>
    <row r="737" ht="15.75" customHeight="1">
      <c r="T737" s="5"/>
      <c r="W737" s="5"/>
      <c r="X737" s="5"/>
      <c r="Y737" s="5"/>
    </row>
    <row r="738" ht="15.75" customHeight="1">
      <c r="T738" s="5"/>
      <c r="W738" s="5"/>
      <c r="X738" s="5"/>
      <c r="Y738" s="5"/>
    </row>
    <row r="739" ht="15.75" customHeight="1">
      <c r="T739" s="5"/>
      <c r="W739" s="5"/>
      <c r="X739" s="5"/>
      <c r="Y739" s="5"/>
    </row>
    <row r="740" ht="15.75" customHeight="1">
      <c r="T740" s="5"/>
      <c r="W740" s="5"/>
      <c r="X740" s="5"/>
      <c r="Y740" s="5"/>
    </row>
    <row r="741" ht="15.75" customHeight="1">
      <c r="T741" s="5"/>
      <c r="W741" s="5"/>
      <c r="X741" s="5"/>
      <c r="Y741" s="5"/>
    </row>
    <row r="742" ht="15.75" customHeight="1">
      <c r="T742" s="5"/>
      <c r="W742" s="5"/>
      <c r="X742" s="5"/>
      <c r="Y742" s="5"/>
    </row>
    <row r="743" ht="15.75" customHeight="1">
      <c r="T743" s="5"/>
      <c r="W743" s="5"/>
      <c r="X743" s="5"/>
      <c r="Y743" s="5"/>
    </row>
    <row r="744" ht="15.75" customHeight="1">
      <c r="T744" s="5"/>
      <c r="W744" s="5"/>
      <c r="X744" s="5"/>
      <c r="Y744" s="5"/>
    </row>
    <row r="745" ht="15.75" customHeight="1">
      <c r="T745" s="5"/>
      <c r="W745" s="5"/>
      <c r="X745" s="5"/>
      <c r="Y745" s="5"/>
    </row>
    <row r="746" ht="15.75" customHeight="1">
      <c r="T746" s="5"/>
      <c r="W746" s="5"/>
      <c r="X746" s="5"/>
      <c r="Y746" s="5"/>
    </row>
    <row r="747" ht="15.75" customHeight="1">
      <c r="T747" s="5"/>
      <c r="W747" s="5"/>
      <c r="X747" s="5"/>
      <c r="Y747" s="5"/>
    </row>
    <row r="748" ht="15.75" customHeight="1">
      <c r="T748" s="5"/>
      <c r="W748" s="5"/>
      <c r="X748" s="5"/>
      <c r="Y748" s="5"/>
    </row>
    <row r="749" ht="15.75" customHeight="1">
      <c r="T749" s="5"/>
      <c r="W749" s="5"/>
      <c r="X749" s="5"/>
      <c r="Y749" s="5"/>
    </row>
    <row r="750" ht="15.75" customHeight="1">
      <c r="T750" s="5"/>
      <c r="W750" s="5"/>
      <c r="X750" s="5"/>
      <c r="Y750" s="5"/>
    </row>
    <row r="751" ht="15.75" customHeight="1">
      <c r="T751" s="5"/>
      <c r="W751" s="5"/>
      <c r="X751" s="5"/>
      <c r="Y751" s="5"/>
    </row>
    <row r="752" ht="15.75" customHeight="1">
      <c r="T752" s="5"/>
      <c r="W752" s="5"/>
      <c r="X752" s="5"/>
      <c r="Y752" s="5"/>
    </row>
    <row r="753" ht="15.75" customHeight="1">
      <c r="T753" s="5"/>
      <c r="W753" s="5"/>
      <c r="X753" s="5"/>
      <c r="Y753" s="5"/>
    </row>
    <row r="754" ht="15.75" customHeight="1">
      <c r="T754" s="5"/>
      <c r="W754" s="5"/>
      <c r="X754" s="5"/>
      <c r="Y754" s="5"/>
    </row>
    <row r="755" ht="15.75" customHeight="1">
      <c r="T755" s="5"/>
      <c r="W755" s="5"/>
      <c r="X755" s="5"/>
      <c r="Y755" s="5"/>
    </row>
    <row r="756" ht="15.75" customHeight="1">
      <c r="T756" s="5"/>
      <c r="W756" s="5"/>
      <c r="X756" s="5"/>
      <c r="Y756" s="5"/>
    </row>
    <row r="757" ht="15.75" customHeight="1">
      <c r="T757" s="5"/>
      <c r="W757" s="5"/>
      <c r="X757" s="5"/>
      <c r="Y757" s="5"/>
    </row>
    <row r="758" ht="15.75" customHeight="1">
      <c r="T758" s="5"/>
      <c r="W758" s="5"/>
      <c r="X758" s="5"/>
      <c r="Y758" s="5"/>
    </row>
    <row r="759" ht="15.75" customHeight="1">
      <c r="T759" s="5"/>
      <c r="W759" s="5"/>
      <c r="X759" s="5"/>
      <c r="Y759" s="5"/>
    </row>
    <row r="760" ht="15.75" customHeight="1">
      <c r="T760" s="5"/>
      <c r="W760" s="5"/>
      <c r="X760" s="5"/>
      <c r="Y760" s="5"/>
    </row>
    <row r="761" ht="15.75" customHeight="1">
      <c r="T761" s="5"/>
      <c r="W761" s="5"/>
      <c r="X761" s="5"/>
      <c r="Y761" s="5"/>
    </row>
    <row r="762" ht="15.75" customHeight="1">
      <c r="T762" s="5"/>
      <c r="W762" s="5"/>
      <c r="X762" s="5"/>
      <c r="Y762" s="5"/>
    </row>
    <row r="763" ht="15.75" customHeight="1">
      <c r="T763" s="5"/>
      <c r="W763" s="5"/>
      <c r="X763" s="5"/>
      <c r="Y763" s="5"/>
    </row>
    <row r="764" ht="15.75" customHeight="1">
      <c r="T764" s="5"/>
      <c r="W764" s="5"/>
      <c r="X764" s="5"/>
      <c r="Y764" s="5"/>
    </row>
    <row r="765" ht="15.75" customHeight="1">
      <c r="T765" s="5"/>
      <c r="W765" s="5"/>
      <c r="X765" s="5"/>
      <c r="Y765" s="5"/>
    </row>
    <row r="766" ht="15.75" customHeight="1">
      <c r="T766" s="5"/>
      <c r="W766" s="5"/>
      <c r="X766" s="5"/>
      <c r="Y766" s="5"/>
    </row>
    <row r="767" ht="15.75" customHeight="1">
      <c r="T767" s="5"/>
      <c r="W767" s="5"/>
      <c r="X767" s="5"/>
      <c r="Y767" s="5"/>
    </row>
    <row r="768" ht="15.75" customHeight="1">
      <c r="T768" s="5"/>
      <c r="W768" s="5"/>
      <c r="X768" s="5"/>
      <c r="Y768" s="5"/>
    </row>
    <row r="769" ht="15.75" customHeight="1">
      <c r="T769" s="5"/>
      <c r="W769" s="5"/>
      <c r="X769" s="5"/>
      <c r="Y769" s="5"/>
    </row>
    <row r="770" ht="15.75" customHeight="1">
      <c r="T770" s="5"/>
      <c r="W770" s="5"/>
      <c r="X770" s="5"/>
      <c r="Y770" s="5"/>
    </row>
    <row r="771" ht="15.75" customHeight="1">
      <c r="T771" s="5"/>
      <c r="W771" s="5"/>
      <c r="X771" s="5"/>
      <c r="Y771" s="5"/>
    </row>
    <row r="772" ht="15.75" customHeight="1">
      <c r="T772" s="5"/>
      <c r="W772" s="5"/>
      <c r="X772" s="5"/>
      <c r="Y772" s="5"/>
    </row>
    <row r="773" ht="15.75" customHeight="1">
      <c r="T773" s="5"/>
      <c r="W773" s="5"/>
      <c r="X773" s="5"/>
      <c r="Y773" s="5"/>
    </row>
    <row r="774" ht="15.75" customHeight="1">
      <c r="T774" s="5"/>
      <c r="W774" s="5"/>
      <c r="X774" s="5"/>
      <c r="Y774" s="5"/>
    </row>
    <row r="775" ht="15.75" customHeight="1">
      <c r="T775" s="5"/>
      <c r="W775" s="5"/>
      <c r="X775" s="5"/>
      <c r="Y775" s="5"/>
    </row>
    <row r="776" ht="15.75" customHeight="1">
      <c r="T776" s="5"/>
      <c r="W776" s="5"/>
      <c r="X776" s="5"/>
      <c r="Y776" s="5"/>
    </row>
    <row r="777" ht="15.75" customHeight="1">
      <c r="T777" s="5"/>
      <c r="W777" s="5"/>
      <c r="X777" s="5"/>
      <c r="Y777" s="5"/>
    </row>
    <row r="778" ht="15.75" customHeight="1">
      <c r="T778" s="5"/>
      <c r="W778" s="5"/>
      <c r="X778" s="5"/>
      <c r="Y778" s="5"/>
    </row>
    <row r="779" ht="15.75" customHeight="1">
      <c r="T779" s="5"/>
      <c r="W779" s="5"/>
      <c r="X779" s="5"/>
      <c r="Y779" s="5"/>
    </row>
    <row r="780" ht="15.75" customHeight="1">
      <c r="T780" s="5"/>
      <c r="W780" s="5"/>
      <c r="X780" s="5"/>
      <c r="Y780" s="5"/>
    </row>
    <row r="781" ht="15.75" customHeight="1">
      <c r="T781" s="5"/>
      <c r="W781" s="5"/>
      <c r="X781" s="5"/>
      <c r="Y781" s="5"/>
    </row>
    <row r="782" ht="15.75" customHeight="1">
      <c r="T782" s="5"/>
      <c r="W782" s="5"/>
      <c r="X782" s="5"/>
      <c r="Y782" s="5"/>
    </row>
    <row r="783" ht="15.75" customHeight="1">
      <c r="T783" s="5"/>
      <c r="W783" s="5"/>
      <c r="X783" s="5"/>
      <c r="Y783" s="5"/>
    </row>
    <row r="784" ht="15.75" customHeight="1">
      <c r="T784" s="5"/>
      <c r="W784" s="5"/>
      <c r="X784" s="5"/>
      <c r="Y784" s="5"/>
    </row>
    <row r="785" ht="15.75" customHeight="1">
      <c r="T785" s="5"/>
      <c r="W785" s="5"/>
      <c r="X785" s="5"/>
      <c r="Y785" s="5"/>
    </row>
    <row r="786" ht="15.75" customHeight="1">
      <c r="T786" s="5"/>
      <c r="W786" s="5"/>
      <c r="X786" s="5"/>
      <c r="Y786" s="5"/>
    </row>
    <row r="787" ht="15.75" customHeight="1">
      <c r="T787" s="5"/>
      <c r="W787" s="5"/>
      <c r="X787" s="5"/>
      <c r="Y787" s="5"/>
    </row>
    <row r="788" ht="15.75" customHeight="1">
      <c r="T788" s="5"/>
      <c r="W788" s="5"/>
      <c r="X788" s="5"/>
      <c r="Y788" s="5"/>
    </row>
    <row r="789" ht="15.75" customHeight="1">
      <c r="T789" s="5"/>
      <c r="W789" s="5"/>
      <c r="X789" s="5"/>
      <c r="Y789" s="5"/>
    </row>
    <row r="790" ht="15.75" customHeight="1">
      <c r="T790" s="5"/>
      <c r="W790" s="5"/>
      <c r="X790" s="5"/>
      <c r="Y790" s="5"/>
    </row>
    <row r="791" ht="15.75" customHeight="1">
      <c r="T791" s="5"/>
      <c r="W791" s="5"/>
      <c r="X791" s="5"/>
      <c r="Y791" s="5"/>
    </row>
    <row r="792" ht="15.75" customHeight="1">
      <c r="T792" s="5"/>
      <c r="W792" s="5"/>
      <c r="X792" s="5"/>
      <c r="Y792" s="5"/>
    </row>
    <row r="793" ht="15.75" customHeight="1">
      <c r="T793" s="5"/>
      <c r="W793" s="5"/>
      <c r="X793" s="5"/>
      <c r="Y793" s="5"/>
    </row>
    <row r="794" ht="15.75" customHeight="1">
      <c r="T794" s="5"/>
      <c r="W794" s="5"/>
      <c r="X794" s="5"/>
      <c r="Y794" s="5"/>
    </row>
    <row r="795" ht="15.75" customHeight="1">
      <c r="T795" s="5"/>
      <c r="W795" s="5"/>
      <c r="X795" s="5"/>
      <c r="Y795" s="5"/>
    </row>
    <row r="796" ht="15.75" customHeight="1">
      <c r="T796" s="5"/>
      <c r="W796" s="5"/>
      <c r="X796" s="5"/>
      <c r="Y796" s="5"/>
    </row>
    <row r="797" ht="15.75" customHeight="1">
      <c r="T797" s="5"/>
      <c r="W797" s="5"/>
      <c r="X797" s="5"/>
      <c r="Y797" s="5"/>
    </row>
    <row r="798" ht="15.75" customHeight="1">
      <c r="T798" s="5"/>
      <c r="W798" s="5"/>
      <c r="X798" s="5"/>
      <c r="Y798" s="5"/>
    </row>
    <row r="799" ht="15.75" customHeight="1">
      <c r="T799" s="5"/>
      <c r="W799" s="5"/>
      <c r="X799" s="5"/>
      <c r="Y799" s="5"/>
    </row>
    <row r="800" ht="15.75" customHeight="1">
      <c r="T800" s="5"/>
      <c r="W800" s="5"/>
      <c r="X800" s="5"/>
      <c r="Y800" s="5"/>
    </row>
    <row r="801" ht="15.75" customHeight="1">
      <c r="T801" s="5"/>
      <c r="W801" s="5"/>
      <c r="X801" s="5"/>
      <c r="Y801" s="5"/>
    </row>
    <row r="802" ht="15.75" customHeight="1">
      <c r="T802" s="5"/>
      <c r="W802" s="5"/>
      <c r="X802" s="5"/>
      <c r="Y802" s="5"/>
    </row>
    <row r="803" ht="15.75" customHeight="1">
      <c r="T803" s="5"/>
      <c r="W803" s="5"/>
      <c r="X803" s="5"/>
      <c r="Y803" s="5"/>
    </row>
    <row r="804" ht="15.75" customHeight="1">
      <c r="T804" s="5"/>
      <c r="W804" s="5"/>
      <c r="X804" s="5"/>
      <c r="Y804" s="5"/>
    </row>
    <row r="805" ht="15.75" customHeight="1">
      <c r="T805" s="5"/>
      <c r="W805" s="5"/>
      <c r="X805" s="5"/>
      <c r="Y805" s="5"/>
    </row>
    <row r="806" ht="15.75" customHeight="1">
      <c r="T806" s="5"/>
      <c r="W806" s="5"/>
      <c r="X806" s="5"/>
      <c r="Y806" s="5"/>
    </row>
    <row r="807" ht="15.75" customHeight="1">
      <c r="T807" s="5"/>
      <c r="W807" s="5"/>
      <c r="X807" s="5"/>
      <c r="Y807" s="5"/>
    </row>
    <row r="808" ht="15.75" customHeight="1">
      <c r="T808" s="5"/>
      <c r="W808" s="5"/>
      <c r="X808" s="5"/>
      <c r="Y808" s="5"/>
    </row>
    <row r="809" ht="15.75" customHeight="1">
      <c r="T809" s="5"/>
      <c r="W809" s="5"/>
      <c r="X809" s="5"/>
      <c r="Y809" s="5"/>
    </row>
    <row r="810" ht="15.75" customHeight="1">
      <c r="T810" s="5"/>
      <c r="W810" s="5"/>
      <c r="X810" s="5"/>
      <c r="Y810" s="5"/>
    </row>
    <row r="811" ht="15.75" customHeight="1">
      <c r="T811" s="5"/>
      <c r="W811" s="5"/>
      <c r="X811" s="5"/>
      <c r="Y811" s="5"/>
    </row>
    <row r="812" ht="15.75" customHeight="1">
      <c r="T812" s="5"/>
      <c r="W812" s="5"/>
      <c r="X812" s="5"/>
      <c r="Y812" s="5"/>
    </row>
    <row r="813" ht="15.75" customHeight="1">
      <c r="T813" s="5"/>
      <c r="W813" s="5"/>
      <c r="X813" s="5"/>
      <c r="Y813" s="5"/>
    </row>
    <row r="814" ht="15.75" customHeight="1">
      <c r="T814" s="5"/>
      <c r="W814" s="5"/>
      <c r="X814" s="5"/>
      <c r="Y814" s="5"/>
    </row>
    <row r="815" ht="15.75" customHeight="1">
      <c r="T815" s="5"/>
      <c r="W815" s="5"/>
      <c r="X815" s="5"/>
      <c r="Y815" s="5"/>
    </row>
    <row r="816" ht="15.75" customHeight="1">
      <c r="T816" s="5"/>
      <c r="W816" s="5"/>
      <c r="X816" s="5"/>
      <c r="Y816" s="5"/>
    </row>
    <row r="817" ht="15.75" customHeight="1">
      <c r="T817" s="5"/>
      <c r="W817" s="5"/>
      <c r="X817" s="5"/>
      <c r="Y817" s="5"/>
    </row>
    <row r="818" ht="15.75" customHeight="1">
      <c r="T818" s="5"/>
      <c r="W818" s="5"/>
      <c r="X818" s="5"/>
      <c r="Y818" s="5"/>
    </row>
    <row r="819" ht="15.75" customHeight="1">
      <c r="T819" s="5"/>
      <c r="W819" s="5"/>
      <c r="X819" s="5"/>
      <c r="Y819" s="5"/>
    </row>
    <row r="820" ht="15.75" customHeight="1">
      <c r="T820" s="5"/>
      <c r="W820" s="5"/>
      <c r="X820" s="5"/>
      <c r="Y820" s="5"/>
    </row>
    <row r="821" ht="15.75" customHeight="1">
      <c r="T821" s="5"/>
      <c r="W821" s="5"/>
      <c r="X821" s="5"/>
      <c r="Y821" s="5"/>
    </row>
    <row r="822" ht="15.75" customHeight="1">
      <c r="T822" s="5"/>
      <c r="W822" s="5"/>
      <c r="X822" s="5"/>
      <c r="Y822" s="5"/>
    </row>
    <row r="823" ht="15.75" customHeight="1">
      <c r="T823" s="5"/>
      <c r="W823" s="5"/>
      <c r="X823" s="5"/>
      <c r="Y823" s="5"/>
    </row>
    <row r="824" ht="15.75" customHeight="1">
      <c r="T824" s="5"/>
      <c r="W824" s="5"/>
      <c r="X824" s="5"/>
      <c r="Y824" s="5"/>
    </row>
    <row r="825" ht="15.75" customHeight="1">
      <c r="T825" s="5"/>
      <c r="W825" s="5"/>
      <c r="X825" s="5"/>
      <c r="Y825" s="5"/>
    </row>
    <row r="826" ht="15.75" customHeight="1">
      <c r="T826" s="5"/>
      <c r="W826" s="5"/>
      <c r="X826" s="5"/>
      <c r="Y826" s="5"/>
    </row>
    <row r="827" ht="15.75" customHeight="1">
      <c r="T827" s="5"/>
      <c r="W827" s="5"/>
      <c r="X827" s="5"/>
      <c r="Y827" s="5"/>
    </row>
    <row r="828" ht="15.75" customHeight="1">
      <c r="T828" s="5"/>
      <c r="W828" s="5"/>
      <c r="X828" s="5"/>
      <c r="Y828" s="5"/>
    </row>
    <row r="829" ht="15.75" customHeight="1">
      <c r="T829" s="5"/>
      <c r="W829" s="5"/>
      <c r="X829" s="5"/>
      <c r="Y829" s="5"/>
    </row>
    <row r="830" ht="15.75" customHeight="1">
      <c r="T830" s="5"/>
      <c r="W830" s="5"/>
      <c r="X830" s="5"/>
      <c r="Y830" s="5"/>
    </row>
    <row r="831" ht="15.75" customHeight="1">
      <c r="T831" s="5"/>
      <c r="W831" s="5"/>
      <c r="X831" s="5"/>
      <c r="Y831" s="5"/>
    </row>
    <row r="832" ht="15.75" customHeight="1">
      <c r="T832" s="5"/>
      <c r="W832" s="5"/>
      <c r="X832" s="5"/>
      <c r="Y832" s="5"/>
    </row>
    <row r="833" ht="15.75" customHeight="1">
      <c r="T833" s="5"/>
      <c r="W833" s="5"/>
      <c r="X833" s="5"/>
      <c r="Y833" s="5"/>
    </row>
    <row r="834" ht="15.75" customHeight="1">
      <c r="T834" s="5"/>
      <c r="W834" s="5"/>
      <c r="X834" s="5"/>
      <c r="Y834" s="5"/>
    </row>
    <row r="835" ht="15.75" customHeight="1">
      <c r="T835" s="5"/>
      <c r="W835" s="5"/>
      <c r="X835" s="5"/>
      <c r="Y835" s="5"/>
    </row>
    <row r="836" ht="15.75" customHeight="1">
      <c r="T836" s="5"/>
      <c r="W836" s="5"/>
      <c r="X836" s="5"/>
      <c r="Y836" s="5"/>
    </row>
    <row r="837" ht="15.75" customHeight="1">
      <c r="T837" s="5"/>
      <c r="W837" s="5"/>
      <c r="X837" s="5"/>
      <c r="Y837" s="5"/>
    </row>
    <row r="838" ht="15.75" customHeight="1">
      <c r="T838" s="5"/>
      <c r="W838" s="5"/>
      <c r="X838" s="5"/>
      <c r="Y838" s="5"/>
    </row>
    <row r="839" ht="15.75" customHeight="1">
      <c r="T839" s="5"/>
      <c r="W839" s="5"/>
      <c r="X839" s="5"/>
      <c r="Y839" s="5"/>
    </row>
    <row r="840" ht="15.75" customHeight="1">
      <c r="T840" s="5"/>
      <c r="W840" s="5"/>
      <c r="X840" s="5"/>
      <c r="Y840" s="5"/>
    </row>
    <row r="841" ht="15.75" customHeight="1">
      <c r="T841" s="5"/>
      <c r="W841" s="5"/>
      <c r="X841" s="5"/>
      <c r="Y841" s="5"/>
    </row>
    <row r="842" ht="15.75" customHeight="1">
      <c r="T842" s="5"/>
      <c r="W842" s="5"/>
      <c r="X842" s="5"/>
      <c r="Y842" s="5"/>
    </row>
    <row r="843" ht="15.75" customHeight="1">
      <c r="T843" s="5"/>
      <c r="W843" s="5"/>
      <c r="X843" s="5"/>
      <c r="Y843" s="5"/>
    </row>
    <row r="844" ht="15.75" customHeight="1">
      <c r="T844" s="5"/>
      <c r="W844" s="5"/>
      <c r="X844" s="5"/>
      <c r="Y844" s="5"/>
    </row>
    <row r="845" ht="15.75" customHeight="1">
      <c r="T845" s="5"/>
      <c r="W845" s="5"/>
      <c r="X845" s="5"/>
      <c r="Y845" s="5"/>
    </row>
    <row r="846" ht="15.75" customHeight="1">
      <c r="T846" s="5"/>
      <c r="W846" s="5"/>
      <c r="X846" s="5"/>
      <c r="Y846" s="5"/>
    </row>
    <row r="847" ht="15.75" customHeight="1">
      <c r="T847" s="5"/>
      <c r="W847" s="5"/>
      <c r="X847" s="5"/>
      <c r="Y847" s="5"/>
    </row>
    <row r="848" ht="15.75" customHeight="1">
      <c r="T848" s="5"/>
      <c r="W848" s="5"/>
      <c r="X848" s="5"/>
      <c r="Y848" s="5"/>
    </row>
    <row r="849" ht="15.75" customHeight="1">
      <c r="T849" s="5"/>
      <c r="W849" s="5"/>
      <c r="X849" s="5"/>
      <c r="Y849" s="5"/>
    </row>
    <row r="850" ht="15.75" customHeight="1">
      <c r="T850" s="5"/>
      <c r="W850" s="5"/>
      <c r="X850" s="5"/>
      <c r="Y850" s="5"/>
    </row>
    <row r="851" ht="15.75" customHeight="1">
      <c r="T851" s="5"/>
      <c r="W851" s="5"/>
      <c r="X851" s="5"/>
      <c r="Y851" s="5"/>
    </row>
    <row r="852" ht="15.75" customHeight="1">
      <c r="T852" s="5"/>
      <c r="W852" s="5"/>
      <c r="X852" s="5"/>
      <c r="Y852" s="5"/>
    </row>
    <row r="853" ht="15.75" customHeight="1">
      <c r="T853" s="5"/>
      <c r="W853" s="5"/>
      <c r="X853" s="5"/>
      <c r="Y853" s="5"/>
    </row>
    <row r="854" ht="15.75" customHeight="1">
      <c r="T854" s="5"/>
      <c r="W854" s="5"/>
      <c r="X854" s="5"/>
      <c r="Y854" s="5"/>
    </row>
    <row r="855" ht="15.75" customHeight="1">
      <c r="T855" s="5"/>
      <c r="W855" s="5"/>
      <c r="X855" s="5"/>
      <c r="Y855" s="5"/>
    </row>
    <row r="856" ht="15.75" customHeight="1">
      <c r="T856" s="5"/>
      <c r="W856" s="5"/>
      <c r="X856" s="5"/>
      <c r="Y856" s="5"/>
    </row>
    <row r="857" ht="15.75" customHeight="1">
      <c r="T857" s="5"/>
      <c r="W857" s="5"/>
      <c r="X857" s="5"/>
      <c r="Y857" s="5"/>
    </row>
    <row r="858" ht="15.75" customHeight="1">
      <c r="T858" s="5"/>
      <c r="W858" s="5"/>
      <c r="X858" s="5"/>
      <c r="Y858" s="5"/>
    </row>
    <row r="859" ht="15.75" customHeight="1">
      <c r="T859" s="5"/>
      <c r="W859" s="5"/>
      <c r="X859" s="5"/>
      <c r="Y859" s="5"/>
    </row>
    <row r="860" ht="15.75" customHeight="1">
      <c r="T860" s="5"/>
      <c r="W860" s="5"/>
      <c r="X860" s="5"/>
      <c r="Y860" s="5"/>
    </row>
    <row r="861" ht="15.75" customHeight="1">
      <c r="T861" s="5"/>
      <c r="W861" s="5"/>
      <c r="X861" s="5"/>
      <c r="Y861" s="5"/>
    </row>
    <row r="862" ht="15.75" customHeight="1">
      <c r="T862" s="5"/>
      <c r="W862" s="5"/>
      <c r="X862" s="5"/>
      <c r="Y862" s="5"/>
    </row>
    <row r="863" ht="15.75" customHeight="1">
      <c r="T863" s="5"/>
      <c r="W863" s="5"/>
      <c r="X863" s="5"/>
      <c r="Y863" s="5"/>
    </row>
    <row r="864" ht="15.75" customHeight="1">
      <c r="T864" s="5"/>
      <c r="W864" s="5"/>
      <c r="X864" s="5"/>
      <c r="Y864" s="5"/>
    </row>
    <row r="865" ht="15.75" customHeight="1">
      <c r="T865" s="5"/>
      <c r="W865" s="5"/>
      <c r="X865" s="5"/>
      <c r="Y865" s="5"/>
    </row>
    <row r="866" ht="15.75" customHeight="1">
      <c r="T866" s="5"/>
      <c r="W866" s="5"/>
      <c r="X866" s="5"/>
      <c r="Y866" s="5"/>
    </row>
    <row r="867" ht="15.75" customHeight="1">
      <c r="T867" s="5"/>
      <c r="W867" s="5"/>
      <c r="X867" s="5"/>
      <c r="Y867" s="5"/>
    </row>
    <row r="868" ht="15.75" customHeight="1">
      <c r="T868" s="5"/>
      <c r="W868" s="5"/>
      <c r="X868" s="5"/>
      <c r="Y868" s="5"/>
    </row>
    <row r="869" ht="15.75" customHeight="1">
      <c r="T869" s="5"/>
      <c r="W869" s="5"/>
      <c r="X869" s="5"/>
      <c r="Y869" s="5"/>
    </row>
    <row r="870" ht="15.75" customHeight="1">
      <c r="T870" s="5"/>
      <c r="W870" s="5"/>
      <c r="X870" s="5"/>
      <c r="Y870" s="5"/>
    </row>
    <row r="871" ht="15.75" customHeight="1">
      <c r="T871" s="5"/>
      <c r="W871" s="5"/>
      <c r="X871" s="5"/>
      <c r="Y871" s="5"/>
    </row>
    <row r="872" ht="15.75" customHeight="1">
      <c r="T872" s="5"/>
      <c r="W872" s="5"/>
      <c r="X872" s="5"/>
      <c r="Y872" s="5"/>
    </row>
    <row r="873" ht="15.75" customHeight="1">
      <c r="T873" s="5"/>
      <c r="W873" s="5"/>
      <c r="X873" s="5"/>
      <c r="Y873" s="5"/>
    </row>
    <row r="874" ht="15.75" customHeight="1">
      <c r="T874" s="5"/>
      <c r="W874" s="5"/>
      <c r="X874" s="5"/>
      <c r="Y874" s="5"/>
    </row>
    <row r="875" ht="15.75" customHeight="1">
      <c r="T875" s="5"/>
      <c r="W875" s="5"/>
      <c r="X875" s="5"/>
      <c r="Y875" s="5"/>
    </row>
    <row r="876" ht="15.75" customHeight="1">
      <c r="T876" s="5"/>
      <c r="W876" s="5"/>
      <c r="X876" s="5"/>
      <c r="Y876" s="5"/>
    </row>
    <row r="877" ht="15.75" customHeight="1">
      <c r="T877" s="5"/>
      <c r="W877" s="5"/>
      <c r="X877" s="5"/>
      <c r="Y877" s="5"/>
    </row>
    <row r="878" ht="15.75" customHeight="1">
      <c r="T878" s="5"/>
      <c r="W878" s="5"/>
      <c r="X878" s="5"/>
      <c r="Y878" s="5"/>
    </row>
    <row r="879" ht="15.75" customHeight="1">
      <c r="T879" s="5"/>
      <c r="W879" s="5"/>
      <c r="X879" s="5"/>
      <c r="Y879" s="5"/>
    </row>
    <row r="880" ht="15.75" customHeight="1">
      <c r="T880" s="5"/>
      <c r="W880" s="5"/>
      <c r="X880" s="5"/>
      <c r="Y880" s="5"/>
    </row>
    <row r="881" ht="15.75" customHeight="1">
      <c r="T881" s="5"/>
      <c r="W881" s="5"/>
      <c r="X881" s="5"/>
      <c r="Y881" s="5"/>
    </row>
    <row r="882" ht="15.75" customHeight="1">
      <c r="T882" s="5"/>
      <c r="W882" s="5"/>
      <c r="X882" s="5"/>
      <c r="Y882" s="5"/>
    </row>
    <row r="883" ht="15.75" customHeight="1">
      <c r="T883" s="5"/>
      <c r="W883" s="5"/>
      <c r="X883" s="5"/>
      <c r="Y883" s="5"/>
    </row>
    <row r="884" ht="15.75" customHeight="1">
      <c r="T884" s="5"/>
      <c r="W884" s="5"/>
      <c r="X884" s="5"/>
      <c r="Y884" s="5"/>
    </row>
    <row r="885" ht="15.75" customHeight="1">
      <c r="T885" s="5"/>
      <c r="W885" s="5"/>
      <c r="X885" s="5"/>
      <c r="Y885" s="5"/>
    </row>
    <row r="886" ht="15.75" customHeight="1">
      <c r="T886" s="5"/>
      <c r="W886" s="5"/>
      <c r="X886" s="5"/>
      <c r="Y886" s="5"/>
    </row>
    <row r="887" ht="15.75" customHeight="1">
      <c r="T887" s="5"/>
      <c r="W887" s="5"/>
      <c r="X887" s="5"/>
      <c r="Y887" s="5"/>
    </row>
    <row r="888" ht="15.75" customHeight="1">
      <c r="T888" s="5"/>
      <c r="W888" s="5"/>
      <c r="X888" s="5"/>
      <c r="Y888" s="5"/>
    </row>
    <row r="889" ht="15.75" customHeight="1">
      <c r="T889" s="5"/>
      <c r="W889" s="5"/>
      <c r="X889" s="5"/>
      <c r="Y889" s="5"/>
    </row>
    <row r="890" ht="15.75" customHeight="1">
      <c r="T890" s="5"/>
      <c r="W890" s="5"/>
      <c r="X890" s="5"/>
      <c r="Y890" s="5"/>
    </row>
    <row r="891" ht="15.75" customHeight="1">
      <c r="T891" s="5"/>
      <c r="W891" s="5"/>
      <c r="X891" s="5"/>
      <c r="Y891" s="5"/>
    </row>
    <row r="892" ht="15.75" customHeight="1">
      <c r="T892" s="5"/>
      <c r="W892" s="5"/>
      <c r="X892" s="5"/>
      <c r="Y892" s="5"/>
    </row>
    <row r="893" ht="15.75" customHeight="1">
      <c r="T893" s="5"/>
      <c r="W893" s="5"/>
      <c r="X893" s="5"/>
      <c r="Y893" s="5"/>
    </row>
    <row r="894" ht="15.75" customHeight="1">
      <c r="T894" s="5"/>
      <c r="W894" s="5"/>
      <c r="X894" s="5"/>
      <c r="Y894" s="5"/>
    </row>
    <row r="895" ht="15.75" customHeight="1">
      <c r="T895" s="5"/>
      <c r="W895" s="5"/>
      <c r="X895" s="5"/>
      <c r="Y895" s="5"/>
    </row>
    <row r="896" ht="15.75" customHeight="1">
      <c r="T896" s="5"/>
      <c r="W896" s="5"/>
      <c r="X896" s="5"/>
      <c r="Y896" s="5"/>
    </row>
    <row r="897" ht="15.75" customHeight="1">
      <c r="T897" s="5"/>
      <c r="W897" s="5"/>
      <c r="X897" s="5"/>
      <c r="Y897" s="5"/>
    </row>
    <row r="898" ht="15.75" customHeight="1">
      <c r="T898" s="5"/>
      <c r="W898" s="5"/>
      <c r="X898" s="5"/>
      <c r="Y898" s="5"/>
    </row>
    <row r="899" ht="15.75" customHeight="1">
      <c r="T899" s="5"/>
      <c r="W899" s="5"/>
      <c r="X899" s="5"/>
      <c r="Y899" s="5"/>
    </row>
    <row r="900" ht="15.75" customHeight="1">
      <c r="T900" s="5"/>
      <c r="W900" s="5"/>
      <c r="X900" s="5"/>
      <c r="Y900" s="5"/>
    </row>
    <row r="901" ht="15.75" customHeight="1">
      <c r="T901" s="5"/>
      <c r="W901" s="5"/>
      <c r="X901" s="5"/>
      <c r="Y901" s="5"/>
    </row>
    <row r="902" ht="15.75" customHeight="1">
      <c r="T902" s="5"/>
      <c r="W902" s="5"/>
      <c r="X902" s="5"/>
      <c r="Y902" s="5"/>
    </row>
    <row r="903" ht="15.75" customHeight="1">
      <c r="T903" s="5"/>
      <c r="W903" s="5"/>
      <c r="X903" s="5"/>
      <c r="Y903" s="5"/>
    </row>
    <row r="904" ht="15.75" customHeight="1">
      <c r="T904" s="5"/>
      <c r="W904" s="5"/>
      <c r="X904" s="5"/>
      <c r="Y904" s="5"/>
    </row>
    <row r="905" ht="15.75" customHeight="1">
      <c r="T905" s="5"/>
      <c r="W905" s="5"/>
      <c r="X905" s="5"/>
      <c r="Y905" s="5"/>
    </row>
    <row r="906" ht="15.75" customHeight="1">
      <c r="T906" s="5"/>
      <c r="W906" s="5"/>
      <c r="X906" s="5"/>
      <c r="Y906" s="5"/>
    </row>
    <row r="907" ht="15.75" customHeight="1">
      <c r="T907" s="5"/>
      <c r="W907" s="5"/>
      <c r="X907" s="5"/>
      <c r="Y907" s="5"/>
    </row>
    <row r="908" ht="15.75" customHeight="1">
      <c r="T908" s="5"/>
      <c r="W908" s="5"/>
      <c r="X908" s="5"/>
      <c r="Y908" s="5"/>
    </row>
    <row r="909" ht="15.75" customHeight="1">
      <c r="T909" s="5"/>
      <c r="W909" s="5"/>
      <c r="X909" s="5"/>
      <c r="Y909" s="5"/>
    </row>
    <row r="910" ht="15.75" customHeight="1">
      <c r="T910" s="5"/>
      <c r="W910" s="5"/>
      <c r="X910" s="5"/>
      <c r="Y910" s="5"/>
    </row>
    <row r="911" ht="15.75" customHeight="1">
      <c r="T911" s="5"/>
      <c r="W911" s="5"/>
      <c r="X911" s="5"/>
      <c r="Y911" s="5"/>
    </row>
    <row r="912" ht="15.75" customHeight="1">
      <c r="T912" s="5"/>
      <c r="W912" s="5"/>
      <c r="X912" s="5"/>
      <c r="Y912" s="5"/>
    </row>
    <row r="913" ht="15.75" customHeight="1">
      <c r="T913" s="5"/>
      <c r="W913" s="5"/>
      <c r="X913" s="5"/>
      <c r="Y913" s="5"/>
    </row>
    <row r="914" ht="15.75" customHeight="1">
      <c r="T914" s="5"/>
      <c r="W914" s="5"/>
      <c r="X914" s="5"/>
      <c r="Y914" s="5"/>
    </row>
    <row r="915" ht="15.75" customHeight="1">
      <c r="T915" s="5"/>
      <c r="W915" s="5"/>
      <c r="X915" s="5"/>
      <c r="Y915" s="5"/>
    </row>
    <row r="916" ht="15.75" customHeight="1">
      <c r="T916" s="5"/>
      <c r="W916" s="5"/>
      <c r="X916" s="5"/>
      <c r="Y916" s="5"/>
    </row>
    <row r="917" ht="15.75" customHeight="1">
      <c r="T917" s="5"/>
      <c r="W917" s="5"/>
      <c r="X917" s="5"/>
      <c r="Y917" s="5"/>
    </row>
    <row r="918" ht="15.75" customHeight="1">
      <c r="T918" s="5"/>
      <c r="W918" s="5"/>
      <c r="X918" s="5"/>
      <c r="Y918" s="5"/>
    </row>
    <row r="919" ht="15.75" customHeight="1">
      <c r="T919" s="5"/>
      <c r="W919" s="5"/>
      <c r="X919" s="5"/>
      <c r="Y919" s="5"/>
    </row>
    <row r="920" ht="15.75" customHeight="1">
      <c r="T920" s="5"/>
      <c r="W920" s="5"/>
      <c r="X920" s="5"/>
      <c r="Y920" s="5"/>
    </row>
    <row r="921" ht="15.75" customHeight="1">
      <c r="T921" s="5"/>
      <c r="W921" s="5"/>
      <c r="X921" s="5"/>
      <c r="Y921" s="5"/>
    </row>
    <row r="922" ht="15.75" customHeight="1">
      <c r="T922" s="5"/>
      <c r="W922" s="5"/>
      <c r="X922" s="5"/>
      <c r="Y922" s="5"/>
    </row>
    <row r="923" ht="15.75" customHeight="1">
      <c r="T923" s="5"/>
      <c r="W923" s="5"/>
      <c r="X923" s="5"/>
      <c r="Y923" s="5"/>
    </row>
    <row r="924" ht="15.75" customHeight="1">
      <c r="T924" s="5"/>
      <c r="W924" s="5"/>
      <c r="X924" s="5"/>
      <c r="Y924" s="5"/>
    </row>
    <row r="925" ht="15.75" customHeight="1">
      <c r="T925" s="5"/>
      <c r="W925" s="5"/>
      <c r="X925" s="5"/>
      <c r="Y925" s="5"/>
    </row>
    <row r="926" ht="15.75" customHeight="1">
      <c r="T926" s="5"/>
      <c r="W926" s="5"/>
      <c r="X926" s="5"/>
      <c r="Y926" s="5"/>
    </row>
    <row r="927" ht="15.75" customHeight="1">
      <c r="T927" s="5"/>
      <c r="W927" s="5"/>
      <c r="X927" s="5"/>
      <c r="Y927" s="5"/>
    </row>
    <row r="928" ht="15.75" customHeight="1">
      <c r="T928" s="5"/>
      <c r="W928" s="5"/>
      <c r="X928" s="5"/>
      <c r="Y928" s="5"/>
    </row>
    <row r="929" ht="15.75" customHeight="1">
      <c r="T929" s="5"/>
      <c r="W929" s="5"/>
      <c r="X929" s="5"/>
      <c r="Y929" s="5"/>
    </row>
    <row r="930" ht="15.75" customHeight="1">
      <c r="T930" s="5"/>
      <c r="W930" s="5"/>
      <c r="X930" s="5"/>
      <c r="Y930" s="5"/>
    </row>
    <row r="931" ht="15.75" customHeight="1">
      <c r="T931" s="5"/>
      <c r="W931" s="5"/>
      <c r="X931" s="5"/>
      <c r="Y931" s="5"/>
    </row>
    <row r="932" ht="15.75" customHeight="1">
      <c r="T932" s="5"/>
      <c r="W932" s="5"/>
      <c r="X932" s="5"/>
      <c r="Y932" s="5"/>
    </row>
    <row r="933" ht="15.75" customHeight="1">
      <c r="T933" s="5"/>
      <c r="W933" s="5"/>
      <c r="X933" s="5"/>
      <c r="Y933" s="5"/>
    </row>
    <row r="934" ht="15.75" customHeight="1">
      <c r="T934" s="5"/>
      <c r="W934" s="5"/>
      <c r="X934" s="5"/>
      <c r="Y934" s="5"/>
    </row>
    <row r="935" ht="15.75" customHeight="1">
      <c r="T935" s="5"/>
      <c r="W935" s="5"/>
      <c r="X935" s="5"/>
      <c r="Y935" s="5"/>
    </row>
    <row r="936" ht="15.75" customHeight="1">
      <c r="T936" s="5"/>
      <c r="W936" s="5"/>
      <c r="X936" s="5"/>
      <c r="Y936" s="5"/>
    </row>
    <row r="937" ht="15.75" customHeight="1">
      <c r="T937" s="5"/>
      <c r="W937" s="5"/>
      <c r="X937" s="5"/>
      <c r="Y937" s="5"/>
    </row>
    <row r="938" ht="15.75" customHeight="1">
      <c r="T938" s="5"/>
      <c r="W938" s="5"/>
      <c r="X938" s="5"/>
      <c r="Y938" s="5"/>
    </row>
    <row r="939" ht="15.75" customHeight="1">
      <c r="T939" s="5"/>
      <c r="W939" s="5"/>
      <c r="X939" s="5"/>
      <c r="Y939" s="5"/>
    </row>
    <row r="940" ht="15.75" customHeight="1">
      <c r="T940" s="5"/>
      <c r="W940" s="5"/>
      <c r="X940" s="5"/>
      <c r="Y940" s="5"/>
    </row>
    <row r="941" ht="15.75" customHeight="1">
      <c r="T941" s="5"/>
      <c r="W941" s="5"/>
      <c r="X941" s="5"/>
      <c r="Y941" s="5"/>
    </row>
    <row r="942" ht="15.75" customHeight="1">
      <c r="T942" s="5"/>
      <c r="W942" s="5"/>
      <c r="X942" s="5"/>
      <c r="Y942" s="5"/>
    </row>
    <row r="943" ht="15.75" customHeight="1">
      <c r="T943" s="5"/>
      <c r="W943" s="5"/>
      <c r="X943" s="5"/>
      <c r="Y943" s="5"/>
    </row>
    <row r="944" ht="15.75" customHeight="1">
      <c r="T944" s="5"/>
      <c r="W944" s="5"/>
      <c r="X944" s="5"/>
      <c r="Y944" s="5"/>
    </row>
    <row r="945" ht="15.75" customHeight="1">
      <c r="T945" s="5"/>
      <c r="W945" s="5"/>
      <c r="X945" s="5"/>
      <c r="Y945" s="5"/>
    </row>
    <row r="946" ht="15.75" customHeight="1">
      <c r="T946" s="5"/>
      <c r="W946" s="5"/>
      <c r="X946" s="5"/>
      <c r="Y946" s="5"/>
    </row>
    <row r="947" ht="15.75" customHeight="1">
      <c r="T947" s="5"/>
      <c r="W947" s="5"/>
      <c r="X947" s="5"/>
      <c r="Y947" s="5"/>
    </row>
    <row r="948" ht="15.75" customHeight="1">
      <c r="T948" s="5"/>
      <c r="W948" s="5"/>
      <c r="X948" s="5"/>
      <c r="Y948" s="5"/>
    </row>
    <row r="949" ht="15.75" customHeight="1">
      <c r="T949" s="5"/>
      <c r="W949" s="5"/>
      <c r="X949" s="5"/>
      <c r="Y949" s="5"/>
    </row>
    <row r="950" ht="15.75" customHeight="1">
      <c r="T950" s="5"/>
      <c r="W950" s="5"/>
      <c r="X950" s="5"/>
      <c r="Y950" s="5"/>
    </row>
    <row r="951" ht="15.75" customHeight="1">
      <c r="T951" s="5"/>
      <c r="W951" s="5"/>
      <c r="X951" s="5"/>
      <c r="Y951" s="5"/>
    </row>
    <row r="952" ht="15.75" customHeight="1">
      <c r="T952" s="5"/>
      <c r="W952" s="5"/>
      <c r="X952" s="5"/>
      <c r="Y952" s="5"/>
    </row>
    <row r="953" ht="15.75" customHeight="1">
      <c r="T953" s="5"/>
      <c r="W953" s="5"/>
      <c r="X953" s="5"/>
      <c r="Y953" s="5"/>
    </row>
    <row r="954" ht="15.75" customHeight="1">
      <c r="T954" s="5"/>
      <c r="W954" s="5"/>
      <c r="X954" s="5"/>
      <c r="Y954" s="5"/>
    </row>
    <row r="955" ht="15.75" customHeight="1">
      <c r="T955" s="5"/>
      <c r="W955" s="5"/>
      <c r="X955" s="5"/>
      <c r="Y955" s="5"/>
    </row>
    <row r="956" ht="15.75" customHeight="1">
      <c r="T956" s="5"/>
      <c r="W956" s="5"/>
      <c r="X956" s="5"/>
      <c r="Y956" s="5"/>
    </row>
    <row r="957" ht="15.75" customHeight="1">
      <c r="T957" s="5"/>
      <c r="W957" s="5"/>
      <c r="X957" s="5"/>
      <c r="Y957" s="5"/>
    </row>
    <row r="958" ht="15.75" customHeight="1">
      <c r="T958" s="5"/>
      <c r="W958" s="5"/>
      <c r="X958" s="5"/>
      <c r="Y958" s="5"/>
    </row>
    <row r="959" ht="15.75" customHeight="1">
      <c r="T959" s="5"/>
      <c r="W959" s="5"/>
      <c r="X959" s="5"/>
      <c r="Y959" s="5"/>
    </row>
    <row r="960" ht="15.75" customHeight="1">
      <c r="T960" s="5"/>
      <c r="W960" s="5"/>
      <c r="X960" s="5"/>
      <c r="Y960" s="5"/>
    </row>
    <row r="961" ht="15.75" customHeight="1">
      <c r="T961" s="5"/>
      <c r="W961" s="5"/>
      <c r="X961" s="5"/>
      <c r="Y961" s="5"/>
    </row>
    <row r="962" ht="15.75" customHeight="1">
      <c r="T962" s="5"/>
      <c r="W962" s="5"/>
      <c r="X962" s="5"/>
      <c r="Y962" s="5"/>
    </row>
    <row r="963" ht="15.75" customHeight="1">
      <c r="T963" s="5"/>
      <c r="W963" s="5"/>
      <c r="X963" s="5"/>
      <c r="Y963" s="5"/>
    </row>
    <row r="964" ht="15.75" customHeight="1">
      <c r="T964" s="5"/>
      <c r="W964" s="5"/>
      <c r="X964" s="5"/>
      <c r="Y964" s="5"/>
    </row>
    <row r="965" ht="15.75" customHeight="1">
      <c r="T965" s="5"/>
      <c r="W965" s="5"/>
      <c r="X965" s="5"/>
      <c r="Y965" s="5"/>
    </row>
    <row r="966" ht="15.75" customHeight="1">
      <c r="T966" s="5"/>
      <c r="W966" s="5"/>
      <c r="X966" s="5"/>
      <c r="Y966" s="5"/>
    </row>
    <row r="967" ht="15.75" customHeight="1">
      <c r="T967" s="5"/>
      <c r="W967" s="5"/>
      <c r="X967" s="5"/>
      <c r="Y967" s="5"/>
    </row>
    <row r="968" ht="15.75" customHeight="1">
      <c r="T968" s="5"/>
      <c r="W968" s="5"/>
      <c r="X968" s="5"/>
      <c r="Y968" s="5"/>
    </row>
    <row r="969" ht="15.75" customHeight="1">
      <c r="T969" s="5"/>
      <c r="W969" s="5"/>
      <c r="X969" s="5"/>
      <c r="Y969" s="5"/>
    </row>
    <row r="970" ht="15.75" customHeight="1">
      <c r="T970" s="5"/>
      <c r="W970" s="5"/>
      <c r="X970" s="5"/>
      <c r="Y970" s="5"/>
    </row>
    <row r="971" ht="15.75" customHeight="1">
      <c r="T971" s="5"/>
      <c r="W971" s="5"/>
      <c r="X971" s="5"/>
      <c r="Y971" s="5"/>
    </row>
    <row r="972" ht="15.75" customHeight="1">
      <c r="T972" s="5"/>
      <c r="W972" s="5"/>
      <c r="X972" s="5"/>
      <c r="Y972" s="5"/>
    </row>
    <row r="973" ht="15.75" customHeight="1">
      <c r="T973" s="5"/>
      <c r="W973" s="5"/>
      <c r="X973" s="5"/>
      <c r="Y973" s="5"/>
    </row>
    <row r="974" ht="15.75" customHeight="1">
      <c r="T974" s="5"/>
      <c r="W974" s="5"/>
      <c r="X974" s="5"/>
      <c r="Y974" s="5"/>
    </row>
    <row r="975" ht="15.75" customHeight="1">
      <c r="T975" s="5"/>
      <c r="W975" s="5"/>
      <c r="X975" s="5"/>
      <c r="Y975" s="5"/>
    </row>
    <row r="976" ht="15.75" customHeight="1">
      <c r="T976" s="5"/>
      <c r="W976" s="5"/>
      <c r="X976" s="5"/>
      <c r="Y976" s="5"/>
    </row>
    <row r="977" ht="15.75" customHeight="1">
      <c r="T977" s="5"/>
      <c r="W977" s="5"/>
      <c r="X977" s="5"/>
      <c r="Y977" s="5"/>
    </row>
    <row r="978" ht="15.75" customHeight="1">
      <c r="T978" s="5"/>
      <c r="W978" s="5"/>
      <c r="X978" s="5"/>
      <c r="Y978" s="5"/>
    </row>
    <row r="979" ht="15.75" customHeight="1">
      <c r="T979" s="5"/>
      <c r="W979" s="5"/>
      <c r="X979" s="5"/>
      <c r="Y979" s="5"/>
    </row>
    <row r="980" ht="15.75" customHeight="1">
      <c r="T980" s="5"/>
      <c r="W980" s="5"/>
      <c r="X980" s="5"/>
      <c r="Y980" s="5"/>
    </row>
    <row r="981" ht="15.75" customHeight="1">
      <c r="T981" s="5"/>
      <c r="W981" s="5"/>
      <c r="X981" s="5"/>
      <c r="Y981" s="5"/>
    </row>
    <row r="982" ht="15.75" customHeight="1">
      <c r="T982" s="5"/>
      <c r="W982" s="5"/>
      <c r="X982" s="5"/>
      <c r="Y982" s="5"/>
    </row>
    <row r="983" ht="15.75" customHeight="1">
      <c r="T983" s="5"/>
      <c r="W983" s="5"/>
      <c r="X983" s="5"/>
      <c r="Y983" s="5"/>
    </row>
    <row r="984" ht="15.75" customHeight="1">
      <c r="T984" s="5"/>
      <c r="W984" s="5"/>
      <c r="X984" s="5"/>
      <c r="Y984" s="5"/>
    </row>
    <row r="985" ht="15.75" customHeight="1">
      <c r="T985" s="5"/>
      <c r="W985" s="5"/>
      <c r="X985" s="5"/>
      <c r="Y985" s="5"/>
    </row>
    <row r="986" ht="15.75" customHeight="1">
      <c r="T986" s="5"/>
      <c r="W986" s="5"/>
      <c r="X986" s="5"/>
      <c r="Y986" s="5"/>
    </row>
    <row r="987" ht="15.75" customHeight="1">
      <c r="T987" s="5"/>
      <c r="W987" s="5"/>
      <c r="X987" s="5"/>
      <c r="Y987" s="5"/>
    </row>
    <row r="988" ht="15.75" customHeight="1">
      <c r="T988" s="5"/>
      <c r="W988" s="5"/>
      <c r="X988" s="5"/>
      <c r="Y988" s="5"/>
    </row>
    <row r="989" ht="15.75" customHeight="1">
      <c r="T989" s="5"/>
      <c r="W989" s="5"/>
      <c r="X989" s="5"/>
      <c r="Y989" s="5"/>
    </row>
    <row r="990" ht="15.75" customHeight="1">
      <c r="T990" s="5"/>
      <c r="W990" s="5"/>
      <c r="X990" s="5"/>
      <c r="Y990" s="5"/>
    </row>
    <row r="991" ht="15.75" customHeight="1">
      <c r="T991" s="5"/>
      <c r="W991" s="5"/>
      <c r="X991" s="5"/>
      <c r="Y991" s="5"/>
    </row>
    <row r="992" ht="15.75" customHeight="1">
      <c r="T992" s="5"/>
      <c r="W992" s="5"/>
      <c r="X992" s="5"/>
      <c r="Y992" s="5"/>
    </row>
    <row r="993" ht="15.75" customHeight="1">
      <c r="T993" s="5"/>
      <c r="W993" s="5"/>
      <c r="X993" s="5"/>
      <c r="Y993" s="5"/>
    </row>
    <row r="994" ht="15.75" customHeight="1">
      <c r="T994" s="5"/>
      <c r="W994" s="5"/>
      <c r="X994" s="5"/>
      <c r="Y994" s="5"/>
    </row>
    <row r="995" ht="15.75" customHeight="1">
      <c r="T995" s="5"/>
      <c r="W995" s="5"/>
      <c r="X995" s="5"/>
      <c r="Y995" s="5"/>
    </row>
    <row r="996" ht="15.75" customHeight="1">
      <c r="T996" s="5"/>
      <c r="W996" s="5"/>
      <c r="X996" s="5"/>
      <c r="Y996" s="5"/>
    </row>
    <row r="997" ht="15.75" customHeight="1">
      <c r="T997" s="5"/>
      <c r="W997" s="5"/>
      <c r="X997" s="5"/>
      <c r="Y997" s="5"/>
    </row>
    <row r="998" ht="15.75" customHeight="1">
      <c r="T998" s="5"/>
      <c r="W998" s="5"/>
      <c r="X998" s="5"/>
      <c r="Y998" s="5"/>
    </row>
    <row r="999" ht="15.75" customHeight="1">
      <c r="T999" s="5"/>
      <c r="W999" s="5"/>
      <c r="X999" s="5"/>
      <c r="Y999" s="5"/>
    </row>
    <row r="1000" ht="15.75" customHeight="1">
      <c r="T1000" s="5"/>
      <c r="W1000" s="5"/>
      <c r="X1000" s="5"/>
      <c r="Y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2" width="26.14"/>
  </cols>
  <sheetData>
    <row r="1">
      <c r="C1" s="1"/>
      <c r="D1" s="1"/>
      <c r="E1" s="1"/>
    </row>
    <row r="2">
      <c r="C2" s="1"/>
      <c r="D2" s="1"/>
      <c r="E2" s="1"/>
    </row>
    <row r="3">
      <c r="C3" s="1"/>
      <c r="D3" s="1"/>
      <c r="E3" s="1"/>
    </row>
    <row r="4">
      <c r="C4" s="1"/>
      <c r="D4" s="1"/>
      <c r="E4" s="1"/>
    </row>
    <row r="5">
      <c r="C5" s="1"/>
      <c r="D5" s="1"/>
      <c r="E5" s="1"/>
    </row>
    <row r="6">
      <c r="A6" s="1"/>
      <c r="B6" s="1"/>
      <c r="C6" s="1"/>
      <c r="D6" s="1"/>
      <c r="E6" s="1"/>
    </row>
    <row r="7">
      <c r="A7" s="1"/>
      <c r="B7" s="1"/>
      <c r="C7" s="1"/>
      <c r="D7" s="1"/>
      <c r="E7" s="1"/>
    </row>
    <row r="8">
      <c r="A8" s="1"/>
      <c r="B8" s="1"/>
      <c r="C8" s="1"/>
      <c r="D8" s="1"/>
      <c r="E8" s="1"/>
    </row>
    <row r="9">
      <c r="A9" s="1"/>
      <c r="B9" s="1"/>
      <c r="C9" s="1"/>
      <c r="D9" s="1"/>
      <c r="E9" s="1"/>
    </row>
    <row r="10">
      <c r="A10" s="1"/>
      <c r="B10" s="1"/>
      <c r="C10" s="1"/>
      <c r="D10" s="1"/>
      <c r="E10" s="1"/>
    </row>
    <row r="11">
      <c r="A11" s="1"/>
      <c r="B11" s="1"/>
      <c r="C11" s="1"/>
      <c r="D11" s="1"/>
      <c r="E11" s="1"/>
    </row>
    <row r="12">
      <c r="A12" s="1"/>
      <c r="B12" s="1"/>
      <c r="C12" s="1"/>
      <c r="D12" s="1"/>
      <c r="E12" s="1"/>
    </row>
    <row r="13">
      <c r="A13" s="1"/>
      <c r="B13" s="1"/>
      <c r="C13" s="1"/>
      <c r="D13" s="1"/>
      <c r="E13" s="1"/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>
      <c r="A21" s="1"/>
      <c r="B21" s="1"/>
      <c r="C21" s="1"/>
      <c r="D21" s="1"/>
      <c r="E21" s="1"/>
    </row>
    <row r="22">
      <c r="A22" s="1"/>
      <c r="B22" s="1"/>
      <c r="C22" s="1"/>
      <c r="D22" s="1"/>
      <c r="E22" s="1"/>
    </row>
    <row r="23">
      <c r="A23" s="1"/>
      <c r="B23" s="1"/>
      <c r="C23" s="1"/>
      <c r="D23" s="1"/>
      <c r="E23" s="1"/>
    </row>
    <row r="24">
      <c r="A24" s="1"/>
      <c r="B24" s="1"/>
      <c r="C24" s="1"/>
      <c r="D24" s="1"/>
      <c r="E24" s="1"/>
    </row>
    <row r="25">
      <c r="A25" s="1"/>
      <c r="B25" s="1"/>
      <c r="C25" s="1"/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1"/>
      <c r="B28" s="1"/>
      <c r="C28" s="1"/>
      <c r="D28" s="1"/>
      <c r="E28" s="1"/>
    </row>
    <row r="29">
      <c r="A29" s="1"/>
      <c r="B29" s="1"/>
      <c r="C29" s="1"/>
      <c r="D29" s="1"/>
      <c r="E29" s="1"/>
    </row>
    <row r="30">
      <c r="A30" s="1"/>
      <c r="B30" s="1"/>
      <c r="C30" s="1"/>
      <c r="D30" s="1"/>
      <c r="E30" s="1"/>
    </row>
    <row r="31">
      <c r="A31" s="1"/>
      <c r="B31" s="1"/>
      <c r="C31" s="1"/>
      <c r="D31" s="1"/>
      <c r="E31" s="1"/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  <row r="37">
      <c r="A37" s="1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5.86"/>
    <col customWidth="1" min="2" max="2" width="25.71"/>
  </cols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16.0"/>
    <col customWidth="1" min="5" max="5" width="19.71"/>
    <col customWidth="1" min="12" max="12" width="19.71"/>
  </cols>
  <sheetData>
    <row r="1">
      <c r="A1" s="6" t="s">
        <v>0</v>
      </c>
      <c r="B1" s="6" t="str">
        <f>IFERROR(__xludf.DUMMYFUNCTION("FILTER(Inventory_Data!V:V,Inventory_Data!V:V&lt;&gt;"""")"),"ABC Classification")</f>
        <v>ABC Classification</v>
      </c>
      <c r="C1" s="6" t="str">
        <f>IFERROR(__xludf.DUMMYFUNCTION("FILTER(Inventory_Data!AA:AA,Inventory_Data!AA:AA&lt;&gt;"""")"),"FSN Classification")</f>
        <v>FSN Classification</v>
      </c>
      <c r="D1" s="2" t="s">
        <v>273</v>
      </c>
      <c r="E1" s="2" t="s">
        <v>274</v>
      </c>
    </row>
    <row r="2">
      <c r="A2" s="4" t="str">
        <f>IFERROR(__xludf.DUMMYFUNCTION("FILTER(Inventory_Data!A2:A1000,Inventory_Data!A2:A1000&lt;&gt;"""")"),"SKU068")</f>
        <v>SKU068</v>
      </c>
      <c r="B2" s="4" t="str">
        <f>IFERROR(__xludf.DUMMYFUNCTION("""COMPUTED_VALUE"""),"A")</f>
        <v>A</v>
      </c>
      <c r="C2" s="4" t="str">
        <f>IFERROR(__xludf.DUMMYFUNCTION("""COMPUTED_VALUE"""),"N")</f>
        <v>N</v>
      </c>
      <c r="D2" s="4" t="str">
        <f t="shared" ref="D2:D101" si="1">B2&amp;C2</f>
        <v>AN</v>
      </c>
      <c r="E2" s="4" t="str">
        <f t="shared" ref="E2:E101" si="2">XLOOKUP(D2,$K$11:$K$19,$L$11:$L$19)</f>
        <v>Capital Blocked</v>
      </c>
    </row>
    <row r="3">
      <c r="A3" s="4" t="str">
        <f>IFERROR(__xludf.DUMMYFUNCTION("""COMPUTED_VALUE"""),"SKU003")</f>
        <v>SKU003</v>
      </c>
      <c r="B3" s="4" t="str">
        <f>IFERROR(__xludf.DUMMYFUNCTION("""COMPUTED_VALUE"""),"A")</f>
        <v>A</v>
      </c>
      <c r="C3" s="4" t="str">
        <f>IFERROR(__xludf.DUMMYFUNCTION("""COMPUTED_VALUE"""),"S")</f>
        <v>S</v>
      </c>
      <c r="D3" s="4" t="str">
        <f t="shared" si="1"/>
        <v>AS</v>
      </c>
      <c r="E3" s="4" t="str">
        <f t="shared" si="2"/>
        <v>Important Item</v>
      </c>
    </row>
    <row r="4">
      <c r="A4" s="4" t="str">
        <f>IFERROR(__xludf.DUMMYFUNCTION("""COMPUTED_VALUE"""),"SKU040")</f>
        <v>SKU040</v>
      </c>
      <c r="B4" s="4" t="str">
        <f>IFERROR(__xludf.DUMMYFUNCTION("""COMPUTED_VALUE"""),"A")</f>
        <v>A</v>
      </c>
      <c r="C4" s="4" t="str">
        <f>IFERROR(__xludf.DUMMYFUNCTION("""COMPUTED_VALUE"""),"S")</f>
        <v>S</v>
      </c>
      <c r="D4" s="4" t="str">
        <f t="shared" si="1"/>
        <v>AS</v>
      </c>
      <c r="E4" s="4" t="str">
        <f t="shared" si="2"/>
        <v>Important Item</v>
      </c>
    </row>
    <row r="5">
      <c r="A5" s="4" t="str">
        <f>IFERROR(__xludf.DUMMYFUNCTION("""COMPUTED_VALUE"""),"SKU023")</f>
        <v>SKU023</v>
      </c>
      <c r="B5" s="4" t="str">
        <f>IFERROR(__xludf.DUMMYFUNCTION("""COMPUTED_VALUE"""),"A")</f>
        <v>A</v>
      </c>
      <c r="C5" s="4" t="str">
        <f>IFERROR(__xludf.DUMMYFUNCTION("""COMPUTED_VALUE"""),"F")</f>
        <v>F</v>
      </c>
      <c r="D5" s="4" t="str">
        <f t="shared" si="1"/>
        <v>AF</v>
      </c>
      <c r="E5" s="4" t="str">
        <f t="shared" si="2"/>
        <v>Critical Item</v>
      </c>
    </row>
    <row r="6">
      <c r="A6" s="4" t="str">
        <f>IFERROR(__xludf.DUMMYFUNCTION("""COMPUTED_VALUE"""),"SKU049")</f>
        <v>SKU049</v>
      </c>
      <c r="B6" s="4" t="str">
        <f>IFERROR(__xludf.DUMMYFUNCTION("""COMPUTED_VALUE"""),"A")</f>
        <v>A</v>
      </c>
      <c r="C6" s="4" t="str">
        <f>IFERROR(__xludf.DUMMYFUNCTION("""COMPUTED_VALUE"""),"S")</f>
        <v>S</v>
      </c>
      <c r="D6" s="4" t="str">
        <f t="shared" si="1"/>
        <v>AS</v>
      </c>
      <c r="E6" s="4" t="str">
        <f t="shared" si="2"/>
        <v>Important Item</v>
      </c>
    </row>
    <row r="7">
      <c r="A7" s="4" t="str">
        <f>IFERROR(__xludf.DUMMYFUNCTION("""COMPUTED_VALUE"""),"SKU030")</f>
        <v>SKU030</v>
      </c>
      <c r="B7" s="4" t="str">
        <f>IFERROR(__xludf.DUMMYFUNCTION("""COMPUTED_VALUE"""),"A")</f>
        <v>A</v>
      </c>
      <c r="C7" s="4" t="str">
        <f>IFERROR(__xludf.DUMMYFUNCTION("""COMPUTED_VALUE"""),"N")</f>
        <v>N</v>
      </c>
      <c r="D7" s="4" t="str">
        <f t="shared" si="1"/>
        <v>AN</v>
      </c>
      <c r="E7" s="4" t="str">
        <f t="shared" si="2"/>
        <v>Capital Blocked</v>
      </c>
    </row>
    <row r="8">
      <c r="A8" s="4" t="str">
        <f>IFERROR(__xludf.DUMMYFUNCTION("""COMPUTED_VALUE"""),"SKU010")</f>
        <v>SKU010</v>
      </c>
      <c r="B8" s="4" t="str">
        <f>IFERROR(__xludf.DUMMYFUNCTION("""COMPUTED_VALUE"""),"A")</f>
        <v>A</v>
      </c>
      <c r="C8" s="4" t="str">
        <f>IFERROR(__xludf.DUMMYFUNCTION("""COMPUTED_VALUE"""),"S")</f>
        <v>S</v>
      </c>
      <c r="D8" s="4" t="str">
        <f t="shared" si="1"/>
        <v>AS</v>
      </c>
      <c r="E8" s="4" t="str">
        <f t="shared" si="2"/>
        <v>Important Item</v>
      </c>
    </row>
    <row r="9">
      <c r="A9" s="4" t="str">
        <f>IFERROR(__xludf.DUMMYFUNCTION("""COMPUTED_VALUE"""),"SKU063")</f>
        <v>SKU063</v>
      </c>
      <c r="B9" s="4" t="str">
        <f>IFERROR(__xludf.DUMMYFUNCTION("""COMPUTED_VALUE"""),"A")</f>
        <v>A</v>
      </c>
      <c r="C9" s="4" t="str">
        <f>IFERROR(__xludf.DUMMYFUNCTION("""COMPUTED_VALUE"""),"F")</f>
        <v>F</v>
      </c>
      <c r="D9" s="4" t="str">
        <f t="shared" si="1"/>
        <v>AF</v>
      </c>
      <c r="E9" s="4" t="str">
        <f t="shared" si="2"/>
        <v>Critical Item</v>
      </c>
    </row>
    <row r="10">
      <c r="A10" s="4" t="str">
        <f>IFERROR(__xludf.DUMMYFUNCTION("""COMPUTED_VALUE"""),"SKU067")</f>
        <v>SKU067</v>
      </c>
      <c r="B10" s="4" t="str">
        <f>IFERROR(__xludf.DUMMYFUNCTION("""COMPUTED_VALUE"""),"A")</f>
        <v>A</v>
      </c>
      <c r="C10" s="4" t="str">
        <f>IFERROR(__xludf.DUMMYFUNCTION("""COMPUTED_VALUE"""),"F")</f>
        <v>F</v>
      </c>
      <c r="D10" s="4" t="str">
        <f t="shared" si="1"/>
        <v>AF</v>
      </c>
      <c r="E10" s="4" t="str">
        <f t="shared" si="2"/>
        <v>Critical Item</v>
      </c>
      <c r="K10" s="7" t="s">
        <v>275</v>
      </c>
      <c r="L10" s="7" t="s">
        <v>276</v>
      </c>
    </row>
    <row r="11">
      <c r="A11" s="4" t="str">
        <f>IFERROR(__xludf.DUMMYFUNCTION("""COMPUTED_VALUE"""),"SKU048")</f>
        <v>SKU048</v>
      </c>
      <c r="B11" s="4" t="str">
        <f>IFERROR(__xludf.DUMMYFUNCTION("""COMPUTED_VALUE"""),"A")</f>
        <v>A</v>
      </c>
      <c r="C11" s="4" t="str">
        <f>IFERROR(__xludf.DUMMYFUNCTION("""COMPUTED_VALUE"""),"S")</f>
        <v>S</v>
      </c>
      <c r="D11" s="4" t="str">
        <f t="shared" si="1"/>
        <v>AS</v>
      </c>
      <c r="E11" s="4" t="str">
        <f t="shared" si="2"/>
        <v>Important Item</v>
      </c>
      <c r="K11" s="2" t="s">
        <v>277</v>
      </c>
      <c r="L11" s="2" t="s">
        <v>278</v>
      </c>
    </row>
    <row r="12">
      <c r="A12" s="4" t="str">
        <f>IFERROR(__xludf.DUMMYFUNCTION("""COMPUTED_VALUE"""),"SKU046")</f>
        <v>SKU046</v>
      </c>
      <c r="B12" s="4" t="str">
        <f>IFERROR(__xludf.DUMMYFUNCTION("""COMPUTED_VALUE"""),"A")</f>
        <v>A</v>
      </c>
      <c r="C12" s="4" t="str">
        <f>IFERROR(__xludf.DUMMYFUNCTION("""COMPUTED_VALUE"""),"N")</f>
        <v>N</v>
      </c>
      <c r="D12" s="4" t="str">
        <f t="shared" si="1"/>
        <v>AN</v>
      </c>
      <c r="E12" s="4" t="str">
        <f t="shared" si="2"/>
        <v>Capital Blocked</v>
      </c>
      <c r="K12" s="2" t="s">
        <v>279</v>
      </c>
      <c r="L12" s="2" t="s">
        <v>280</v>
      </c>
    </row>
    <row r="13">
      <c r="A13" s="4" t="str">
        <f>IFERROR(__xludf.DUMMYFUNCTION("""COMPUTED_VALUE"""),"SKU026")</f>
        <v>SKU026</v>
      </c>
      <c r="B13" s="4" t="str">
        <f>IFERROR(__xludf.DUMMYFUNCTION("""COMPUTED_VALUE"""),"A")</f>
        <v>A</v>
      </c>
      <c r="C13" s="4" t="str">
        <f>IFERROR(__xludf.DUMMYFUNCTION("""COMPUTED_VALUE"""),"S")</f>
        <v>S</v>
      </c>
      <c r="D13" s="4" t="str">
        <f t="shared" si="1"/>
        <v>AS</v>
      </c>
      <c r="E13" s="4" t="str">
        <f t="shared" si="2"/>
        <v>Important Item</v>
      </c>
      <c r="K13" s="2" t="s">
        <v>281</v>
      </c>
      <c r="L13" s="2" t="s">
        <v>282</v>
      </c>
    </row>
    <row r="14">
      <c r="A14" s="4" t="str">
        <f>IFERROR(__xludf.DUMMYFUNCTION("""COMPUTED_VALUE"""),"SKU071")</f>
        <v>SKU071</v>
      </c>
      <c r="B14" s="4" t="str">
        <f>IFERROR(__xludf.DUMMYFUNCTION("""COMPUTED_VALUE"""),"A")</f>
        <v>A</v>
      </c>
      <c r="C14" s="4" t="str">
        <f>IFERROR(__xludf.DUMMYFUNCTION("""COMPUTED_VALUE"""),"N")</f>
        <v>N</v>
      </c>
      <c r="D14" s="4" t="str">
        <f t="shared" si="1"/>
        <v>AN</v>
      </c>
      <c r="E14" s="4" t="str">
        <f t="shared" si="2"/>
        <v>Capital Blocked</v>
      </c>
      <c r="K14" s="2" t="s">
        <v>283</v>
      </c>
      <c r="L14" s="2" t="s">
        <v>284</v>
      </c>
    </row>
    <row r="15">
      <c r="A15" s="4" t="str">
        <f>IFERROR(__xludf.DUMMYFUNCTION("""COMPUTED_VALUE"""),"SKU053")</f>
        <v>SKU053</v>
      </c>
      <c r="B15" s="4" t="str">
        <f>IFERROR(__xludf.DUMMYFUNCTION("""COMPUTED_VALUE"""),"A")</f>
        <v>A</v>
      </c>
      <c r="C15" s="4" t="str">
        <f>IFERROR(__xludf.DUMMYFUNCTION("""COMPUTED_VALUE"""),"N")</f>
        <v>N</v>
      </c>
      <c r="D15" s="4" t="str">
        <f t="shared" si="1"/>
        <v>AN</v>
      </c>
      <c r="E15" s="4" t="str">
        <f t="shared" si="2"/>
        <v>Capital Blocked</v>
      </c>
      <c r="K15" s="2" t="s">
        <v>285</v>
      </c>
      <c r="L15" s="2" t="s">
        <v>286</v>
      </c>
    </row>
    <row r="16">
      <c r="A16" s="4" t="str">
        <f>IFERROR(__xludf.DUMMYFUNCTION("""COMPUTED_VALUE"""),"SKU012")</f>
        <v>SKU012</v>
      </c>
      <c r="B16" s="4" t="str">
        <f>IFERROR(__xludf.DUMMYFUNCTION("""COMPUTED_VALUE"""),"A")</f>
        <v>A</v>
      </c>
      <c r="C16" s="4" t="str">
        <f>IFERROR(__xludf.DUMMYFUNCTION("""COMPUTED_VALUE"""),"S")</f>
        <v>S</v>
      </c>
      <c r="D16" s="4" t="str">
        <f t="shared" si="1"/>
        <v>AS</v>
      </c>
      <c r="E16" s="4" t="str">
        <f t="shared" si="2"/>
        <v>Important Item</v>
      </c>
      <c r="K16" s="2" t="s">
        <v>287</v>
      </c>
      <c r="L16" s="2" t="s">
        <v>288</v>
      </c>
    </row>
    <row r="17">
      <c r="A17" s="4" t="str">
        <f>IFERROR(__xludf.DUMMYFUNCTION("""COMPUTED_VALUE"""),"SKU089")</f>
        <v>SKU089</v>
      </c>
      <c r="B17" s="4" t="str">
        <f>IFERROR(__xludf.DUMMYFUNCTION("""COMPUTED_VALUE"""),"A")</f>
        <v>A</v>
      </c>
      <c r="C17" s="4" t="str">
        <f>IFERROR(__xludf.DUMMYFUNCTION("""COMPUTED_VALUE"""),"N")</f>
        <v>N</v>
      </c>
      <c r="D17" s="4" t="str">
        <f t="shared" si="1"/>
        <v>AN</v>
      </c>
      <c r="E17" s="4" t="str">
        <f t="shared" si="2"/>
        <v>Capital Blocked</v>
      </c>
      <c r="K17" s="2" t="s">
        <v>289</v>
      </c>
      <c r="L17" s="2" t="s">
        <v>290</v>
      </c>
    </row>
    <row r="18">
      <c r="A18" s="4" t="str">
        <f>IFERROR(__xludf.DUMMYFUNCTION("""COMPUTED_VALUE"""),"SKU019")</f>
        <v>SKU019</v>
      </c>
      <c r="B18" s="4" t="str">
        <f>IFERROR(__xludf.DUMMYFUNCTION("""COMPUTED_VALUE"""),"A")</f>
        <v>A</v>
      </c>
      <c r="C18" s="4" t="str">
        <f>IFERROR(__xludf.DUMMYFUNCTION("""COMPUTED_VALUE"""),"S")</f>
        <v>S</v>
      </c>
      <c r="D18" s="4" t="str">
        <f t="shared" si="1"/>
        <v>AS</v>
      </c>
      <c r="E18" s="4" t="str">
        <f t="shared" si="2"/>
        <v>Important Item</v>
      </c>
      <c r="K18" s="2" t="s">
        <v>291</v>
      </c>
      <c r="L18" s="2" t="s">
        <v>292</v>
      </c>
    </row>
    <row r="19">
      <c r="A19" s="4" t="str">
        <f>IFERROR(__xludf.DUMMYFUNCTION("""COMPUTED_VALUE"""),"SKU083")</f>
        <v>SKU083</v>
      </c>
      <c r="B19" s="4" t="str">
        <f>IFERROR(__xludf.DUMMYFUNCTION("""COMPUTED_VALUE"""),"A")</f>
        <v>A</v>
      </c>
      <c r="C19" s="4" t="str">
        <f>IFERROR(__xludf.DUMMYFUNCTION("""COMPUTED_VALUE"""),"N")</f>
        <v>N</v>
      </c>
      <c r="D19" s="4" t="str">
        <f t="shared" si="1"/>
        <v>AN</v>
      </c>
      <c r="E19" s="4" t="str">
        <f t="shared" si="2"/>
        <v>Capital Blocked</v>
      </c>
      <c r="K19" s="2" t="s">
        <v>293</v>
      </c>
      <c r="L19" s="2" t="s">
        <v>294</v>
      </c>
    </row>
    <row r="20">
      <c r="A20" s="4" t="str">
        <f>IFERROR(__xludf.DUMMYFUNCTION("""COMPUTED_VALUE"""),"SKU033")</f>
        <v>SKU033</v>
      </c>
      <c r="B20" s="4" t="str">
        <f>IFERROR(__xludf.DUMMYFUNCTION("""COMPUTED_VALUE"""),"A")</f>
        <v>A</v>
      </c>
      <c r="C20" s="4" t="str">
        <f>IFERROR(__xludf.DUMMYFUNCTION("""COMPUTED_VALUE"""),"S")</f>
        <v>S</v>
      </c>
      <c r="D20" s="4" t="str">
        <f t="shared" si="1"/>
        <v>AS</v>
      </c>
      <c r="E20" s="4" t="str">
        <f t="shared" si="2"/>
        <v>Important Item</v>
      </c>
    </row>
    <row r="21">
      <c r="A21" s="4" t="str">
        <f>IFERROR(__xludf.DUMMYFUNCTION("""COMPUTED_VALUE"""),"SKU002")</f>
        <v>SKU002</v>
      </c>
      <c r="B21" s="4" t="str">
        <f>IFERROR(__xludf.DUMMYFUNCTION("""COMPUTED_VALUE"""),"A")</f>
        <v>A</v>
      </c>
      <c r="C21" s="4" t="str">
        <f>IFERROR(__xludf.DUMMYFUNCTION("""COMPUTED_VALUE"""),"N")</f>
        <v>N</v>
      </c>
      <c r="D21" s="4" t="str">
        <f t="shared" si="1"/>
        <v>AN</v>
      </c>
      <c r="E21" s="4" t="str">
        <f t="shared" si="2"/>
        <v>Capital Blocked</v>
      </c>
    </row>
    <row r="22">
      <c r="A22" s="4" t="str">
        <f>IFERROR(__xludf.DUMMYFUNCTION("""COMPUTED_VALUE"""),"SKU007")</f>
        <v>SKU007</v>
      </c>
      <c r="B22" s="4" t="str">
        <f>IFERROR(__xludf.DUMMYFUNCTION("""COMPUTED_VALUE"""),"A")</f>
        <v>A</v>
      </c>
      <c r="C22" s="4" t="str">
        <f>IFERROR(__xludf.DUMMYFUNCTION("""COMPUTED_VALUE"""),"N")</f>
        <v>N</v>
      </c>
      <c r="D22" s="4" t="str">
        <f t="shared" si="1"/>
        <v>AN</v>
      </c>
      <c r="E22" s="4" t="str">
        <f t="shared" si="2"/>
        <v>Capital Blocked</v>
      </c>
    </row>
    <row r="23">
      <c r="A23" s="4" t="str">
        <f>IFERROR(__xludf.DUMMYFUNCTION("""COMPUTED_VALUE"""),"SKU039")</f>
        <v>SKU039</v>
      </c>
      <c r="B23" s="4" t="str">
        <f>IFERROR(__xludf.DUMMYFUNCTION("""COMPUTED_VALUE"""),"A")</f>
        <v>A</v>
      </c>
      <c r="C23" s="4" t="str">
        <f>IFERROR(__xludf.DUMMYFUNCTION("""COMPUTED_VALUE"""),"S")</f>
        <v>S</v>
      </c>
      <c r="D23" s="4" t="str">
        <f t="shared" si="1"/>
        <v>AS</v>
      </c>
      <c r="E23" s="4" t="str">
        <f t="shared" si="2"/>
        <v>Important Item</v>
      </c>
    </row>
    <row r="24">
      <c r="A24" s="4" t="str">
        <f>IFERROR(__xludf.DUMMYFUNCTION("""COMPUTED_VALUE"""),"SKU088")</f>
        <v>SKU088</v>
      </c>
      <c r="B24" s="4" t="str">
        <f>IFERROR(__xludf.DUMMYFUNCTION("""COMPUTED_VALUE"""),"A")</f>
        <v>A</v>
      </c>
      <c r="C24" s="4" t="str">
        <f>IFERROR(__xludf.DUMMYFUNCTION("""COMPUTED_VALUE"""),"S")</f>
        <v>S</v>
      </c>
      <c r="D24" s="4" t="str">
        <f t="shared" si="1"/>
        <v>AS</v>
      </c>
      <c r="E24" s="4" t="str">
        <f t="shared" si="2"/>
        <v>Important Item</v>
      </c>
    </row>
    <row r="25">
      <c r="A25" s="4" t="str">
        <f>IFERROR(__xludf.DUMMYFUNCTION("""COMPUTED_VALUE"""),"SKU016")</f>
        <v>SKU016</v>
      </c>
      <c r="B25" s="4" t="str">
        <f>IFERROR(__xludf.DUMMYFUNCTION("""COMPUTED_VALUE"""),"A")</f>
        <v>A</v>
      </c>
      <c r="C25" s="4" t="str">
        <f>IFERROR(__xludf.DUMMYFUNCTION("""COMPUTED_VALUE"""),"S")</f>
        <v>S</v>
      </c>
      <c r="D25" s="4" t="str">
        <f t="shared" si="1"/>
        <v>AS</v>
      </c>
      <c r="E25" s="4" t="str">
        <f t="shared" si="2"/>
        <v>Important Item</v>
      </c>
    </row>
    <row r="26">
      <c r="A26" s="4" t="str">
        <f>IFERROR(__xludf.DUMMYFUNCTION("""COMPUTED_VALUE"""),"SKU042")</f>
        <v>SKU042</v>
      </c>
      <c r="B26" s="4" t="str">
        <f>IFERROR(__xludf.DUMMYFUNCTION("""COMPUTED_VALUE"""),"A")</f>
        <v>A</v>
      </c>
      <c r="C26" s="4" t="str">
        <f>IFERROR(__xludf.DUMMYFUNCTION("""COMPUTED_VALUE"""),"S")</f>
        <v>S</v>
      </c>
      <c r="D26" s="4" t="str">
        <f t="shared" si="1"/>
        <v>AS</v>
      </c>
      <c r="E26" s="4" t="str">
        <f t="shared" si="2"/>
        <v>Important Item</v>
      </c>
    </row>
    <row r="27">
      <c r="A27" s="4" t="str">
        <f>IFERROR(__xludf.DUMMYFUNCTION("""COMPUTED_VALUE"""),"SKU060")</f>
        <v>SKU060</v>
      </c>
      <c r="B27" s="4" t="str">
        <f>IFERROR(__xludf.DUMMYFUNCTION("""COMPUTED_VALUE"""),"A")</f>
        <v>A</v>
      </c>
      <c r="C27" s="4" t="str">
        <f>IFERROR(__xludf.DUMMYFUNCTION("""COMPUTED_VALUE"""),"N")</f>
        <v>N</v>
      </c>
      <c r="D27" s="4" t="str">
        <f t="shared" si="1"/>
        <v>AN</v>
      </c>
      <c r="E27" s="4" t="str">
        <f t="shared" si="2"/>
        <v>Capital Blocked</v>
      </c>
    </row>
    <row r="28">
      <c r="A28" s="4" t="str">
        <f>IFERROR(__xludf.DUMMYFUNCTION("""COMPUTED_VALUE"""),"SKU081")</f>
        <v>SKU081</v>
      </c>
      <c r="B28" s="4" t="str">
        <f>IFERROR(__xludf.DUMMYFUNCTION("""COMPUTED_VALUE"""),"A")</f>
        <v>A</v>
      </c>
      <c r="C28" s="4" t="str">
        <f>IFERROR(__xludf.DUMMYFUNCTION("""COMPUTED_VALUE"""),"F")</f>
        <v>F</v>
      </c>
      <c r="D28" s="4" t="str">
        <f t="shared" si="1"/>
        <v>AF</v>
      </c>
      <c r="E28" s="4" t="str">
        <f t="shared" si="2"/>
        <v>Critical Item</v>
      </c>
    </row>
    <row r="29">
      <c r="A29" s="4" t="str">
        <f>IFERROR(__xludf.DUMMYFUNCTION("""COMPUTED_VALUE"""),"SKU044")</f>
        <v>SKU044</v>
      </c>
      <c r="B29" s="4" t="str">
        <f>IFERROR(__xludf.DUMMYFUNCTION("""COMPUTED_VALUE"""),"A")</f>
        <v>A</v>
      </c>
      <c r="C29" s="4" t="str">
        <f>IFERROR(__xludf.DUMMYFUNCTION("""COMPUTED_VALUE"""),"N")</f>
        <v>N</v>
      </c>
      <c r="D29" s="4" t="str">
        <f t="shared" si="1"/>
        <v>AN</v>
      </c>
      <c r="E29" s="4" t="str">
        <f t="shared" si="2"/>
        <v>Capital Blocked</v>
      </c>
    </row>
    <row r="30">
      <c r="A30" s="4" t="str">
        <f>IFERROR(__xludf.DUMMYFUNCTION("""COMPUTED_VALUE"""),"SKU045")</f>
        <v>SKU045</v>
      </c>
      <c r="B30" s="4" t="str">
        <f>IFERROR(__xludf.DUMMYFUNCTION("""COMPUTED_VALUE"""),"A")</f>
        <v>A</v>
      </c>
      <c r="C30" s="4" t="str">
        <f>IFERROR(__xludf.DUMMYFUNCTION("""COMPUTED_VALUE"""),"F")</f>
        <v>F</v>
      </c>
      <c r="D30" s="4" t="str">
        <f t="shared" si="1"/>
        <v>AF</v>
      </c>
      <c r="E30" s="4" t="str">
        <f t="shared" si="2"/>
        <v>Critical Item</v>
      </c>
    </row>
    <row r="31">
      <c r="A31" s="4" t="str">
        <f>IFERROR(__xludf.DUMMYFUNCTION("""COMPUTED_VALUE"""),"SKU078")</f>
        <v>SKU078</v>
      </c>
      <c r="B31" s="4" t="str">
        <f>IFERROR(__xludf.DUMMYFUNCTION("""COMPUTED_VALUE"""),"A")</f>
        <v>A</v>
      </c>
      <c r="C31" s="4" t="str">
        <f>IFERROR(__xludf.DUMMYFUNCTION("""COMPUTED_VALUE"""),"F")</f>
        <v>F</v>
      </c>
      <c r="D31" s="4" t="str">
        <f t="shared" si="1"/>
        <v>AF</v>
      </c>
      <c r="E31" s="4" t="str">
        <f t="shared" si="2"/>
        <v>Critical Item</v>
      </c>
    </row>
    <row r="32">
      <c r="A32" s="4" t="str">
        <f>IFERROR(__xludf.DUMMYFUNCTION("""COMPUTED_VALUE"""),"SKU029")</f>
        <v>SKU029</v>
      </c>
      <c r="B32" s="4" t="str">
        <f>IFERROR(__xludf.DUMMYFUNCTION("""COMPUTED_VALUE"""),"A")</f>
        <v>A</v>
      </c>
      <c r="C32" s="4" t="str">
        <f>IFERROR(__xludf.DUMMYFUNCTION("""COMPUTED_VALUE"""),"S")</f>
        <v>S</v>
      </c>
      <c r="D32" s="4" t="str">
        <f t="shared" si="1"/>
        <v>AS</v>
      </c>
      <c r="E32" s="4" t="str">
        <f t="shared" si="2"/>
        <v>Important Item</v>
      </c>
    </row>
    <row r="33">
      <c r="A33" s="4" t="str">
        <f>IFERROR(__xludf.DUMMYFUNCTION("""COMPUTED_VALUE"""),"SKU092")</f>
        <v>SKU092</v>
      </c>
      <c r="B33" s="4" t="str">
        <f>IFERROR(__xludf.DUMMYFUNCTION("""COMPUTED_VALUE"""),"A")</f>
        <v>A</v>
      </c>
      <c r="C33" s="4" t="str">
        <f>IFERROR(__xludf.DUMMYFUNCTION("""COMPUTED_VALUE"""),"N")</f>
        <v>N</v>
      </c>
      <c r="D33" s="4" t="str">
        <f t="shared" si="1"/>
        <v>AN</v>
      </c>
      <c r="E33" s="4" t="str">
        <f t="shared" si="2"/>
        <v>Capital Blocked</v>
      </c>
    </row>
    <row r="34">
      <c r="A34" s="4" t="str">
        <f>IFERROR(__xludf.DUMMYFUNCTION("""COMPUTED_VALUE"""),"SKU034")</f>
        <v>SKU034</v>
      </c>
      <c r="B34" s="4" t="str">
        <f>IFERROR(__xludf.DUMMYFUNCTION("""COMPUTED_VALUE"""),"A")</f>
        <v>A</v>
      </c>
      <c r="C34" s="4" t="str">
        <f>IFERROR(__xludf.DUMMYFUNCTION("""COMPUTED_VALUE"""),"F")</f>
        <v>F</v>
      </c>
      <c r="D34" s="4" t="str">
        <f t="shared" si="1"/>
        <v>AF</v>
      </c>
      <c r="E34" s="4" t="str">
        <f t="shared" si="2"/>
        <v>Critical Item</v>
      </c>
    </row>
    <row r="35">
      <c r="A35" s="4" t="str">
        <f>IFERROR(__xludf.DUMMYFUNCTION("""COMPUTED_VALUE"""),"SKU062")</f>
        <v>SKU062</v>
      </c>
      <c r="B35" s="4" t="str">
        <f>IFERROR(__xludf.DUMMYFUNCTION("""COMPUTED_VALUE"""),"A")</f>
        <v>A</v>
      </c>
      <c r="C35" s="4" t="str">
        <f>IFERROR(__xludf.DUMMYFUNCTION("""COMPUTED_VALUE"""),"F")</f>
        <v>F</v>
      </c>
      <c r="D35" s="4" t="str">
        <f t="shared" si="1"/>
        <v>AF</v>
      </c>
      <c r="E35" s="4" t="str">
        <f t="shared" si="2"/>
        <v>Critical Item</v>
      </c>
    </row>
    <row r="36">
      <c r="A36" s="4" t="str">
        <f>IFERROR(__xludf.DUMMYFUNCTION("""COMPUTED_VALUE"""),"SKU094")</f>
        <v>SKU094</v>
      </c>
      <c r="B36" s="4" t="str">
        <f>IFERROR(__xludf.DUMMYFUNCTION("""COMPUTED_VALUE"""),"A")</f>
        <v>A</v>
      </c>
      <c r="C36" s="4" t="str">
        <f>IFERROR(__xludf.DUMMYFUNCTION("""COMPUTED_VALUE"""),"S")</f>
        <v>S</v>
      </c>
      <c r="D36" s="4" t="str">
        <f t="shared" si="1"/>
        <v>AS</v>
      </c>
      <c r="E36" s="4" t="str">
        <f t="shared" si="2"/>
        <v>Important Item</v>
      </c>
    </row>
    <row r="37">
      <c r="A37" s="4" t="str">
        <f>IFERROR(__xludf.DUMMYFUNCTION("""COMPUTED_VALUE"""),"SKU041")</f>
        <v>SKU041</v>
      </c>
      <c r="B37" s="4" t="str">
        <f>IFERROR(__xludf.DUMMYFUNCTION("""COMPUTED_VALUE"""),"A")</f>
        <v>A</v>
      </c>
      <c r="C37" s="4" t="str">
        <f>IFERROR(__xludf.DUMMYFUNCTION("""COMPUTED_VALUE"""),"N")</f>
        <v>N</v>
      </c>
      <c r="D37" s="4" t="str">
        <f t="shared" si="1"/>
        <v>AN</v>
      </c>
      <c r="E37" s="4" t="str">
        <f t="shared" si="2"/>
        <v>Capital Blocked</v>
      </c>
    </row>
    <row r="38">
      <c r="A38" s="4" t="str">
        <f>IFERROR(__xludf.DUMMYFUNCTION("""COMPUTED_VALUE"""),"SKU035")</f>
        <v>SKU035</v>
      </c>
      <c r="B38" s="4" t="str">
        <f>IFERROR(__xludf.DUMMYFUNCTION("""COMPUTED_VALUE"""),"A")</f>
        <v>A</v>
      </c>
      <c r="C38" s="4" t="str">
        <f>IFERROR(__xludf.DUMMYFUNCTION("""COMPUTED_VALUE"""),"S")</f>
        <v>S</v>
      </c>
      <c r="D38" s="4" t="str">
        <f t="shared" si="1"/>
        <v>AS</v>
      </c>
      <c r="E38" s="4" t="str">
        <f t="shared" si="2"/>
        <v>Important Item</v>
      </c>
    </row>
    <row r="39">
      <c r="A39" s="4" t="str">
        <f>IFERROR(__xludf.DUMMYFUNCTION("""COMPUTED_VALUE"""),"SKU015")</f>
        <v>SKU015</v>
      </c>
      <c r="B39" s="4" t="str">
        <f>IFERROR(__xludf.DUMMYFUNCTION("""COMPUTED_VALUE"""),"A")</f>
        <v>A</v>
      </c>
      <c r="C39" s="4" t="str">
        <f>IFERROR(__xludf.DUMMYFUNCTION("""COMPUTED_VALUE"""),"S")</f>
        <v>S</v>
      </c>
      <c r="D39" s="4" t="str">
        <f t="shared" si="1"/>
        <v>AS</v>
      </c>
      <c r="E39" s="4" t="str">
        <f t="shared" si="2"/>
        <v>Important Item</v>
      </c>
    </row>
    <row r="40">
      <c r="A40" s="4" t="str">
        <f>IFERROR(__xludf.DUMMYFUNCTION("""COMPUTED_VALUE"""),"SKU075")</f>
        <v>SKU075</v>
      </c>
      <c r="B40" s="4" t="str">
        <f>IFERROR(__xludf.DUMMYFUNCTION("""COMPUTED_VALUE"""),"A")</f>
        <v>A</v>
      </c>
      <c r="C40" s="4" t="str">
        <f>IFERROR(__xludf.DUMMYFUNCTION("""COMPUTED_VALUE"""),"S")</f>
        <v>S</v>
      </c>
      <c r="D40" s="4" t="str">
        <f t="shared" si="1"/>
        <v>AS</v>
      </c>
      <c r="E40" s="4" t="str">
        <f t="shared" si="2"/>
        <v>Important Item</v>
      </c>
    </row>
    <row r="41">
      <c r="A41" s="4" t="str">
        <f>IFERROR(__xludf.DUMMYFUNCTION("""COMPUTED_VALUE"""),"SKU031")</f>
        <v>SKU031</v>
      </c>
      <c r="B41" s="4" t="str">
        <f>IFERROR(__xludf.DUMMYFUNCTION("""COMPUTED_VALUE"""),"A")</f>
        <v>A</v>
      </c>
      <c r="C41" s="4" t="str">
        <f>IFERROR(__xludf.DUMMYFUNCTION("""COMPUTED_VALUE"""),"S")</f>
        <v>S</v>
      </c>
      <c r="D41" s="4" t="str">
        <f t="shared" si="1"/>
        <v>AS</v>
      </c>
      <c r="E41" s="4" t="str">
        <f t="shared" si="2"/>
        <v>Important Item</v>
      </c>
    </row>
    <row r="42">
      <c r="A42" s="4" t="str">
        <f>IFERROR(__xludf.DUMMYFUNCTION("""COMPUTED_VALUE"""),"SKU050")</f>
        <v>SKU050</v>
      </c>
      <c r="B42" s="4" t="str">
        <f>IFERROR(__xludf.DUMMYFUNCTION("""COMPUTED_VALUE"""),"A")</f>
        <v>A</v>
      </c>
      <c r="C42" s="4" t="str">
        <f>IFERROR(__xludf.DUMMYFUNCTION("""COMPUTED_VALUE"""),"S")</f>
        <v>S</v>
      </c>
      <c r="D42" s="4" t="str">
        <f t="shared" si="1"/>
        <v>AS</v>
      </c>
      <c r="E42" s="4" t="str">
        <f t="shared" si="2"/>
        <v>Important Item</v>
      </c>
    </row>
    <row r="43">
      <c r="A43" s="4" t="str">
        <f>IFERROR(__xludf.DUMMYFUNCTION("""COMPUTED_VALUE"""),"SKU085")</f>
        <v>SKU085</v>
      </c>
      <c r="B43" s="4" t="str">
        <f>IFERROR(__xludf.DUMMYFUNCTION("""COMPUTED_VALUE"""),"A")</f>
        <v>A</v>
      </c>
      <c r="C43" s="4" t="str">
        <f>IFERROR(__xludf.DUMMYFUNCTION("""COMPUTED_VALUE"""),"F")</f>
        <v>F</v>
      </c>
      <c r="D43" s="4" t="str">
        <f t="shared" si="1"/>
        <v>AF</v>
      </c>
      <c r="E43" s="4" t="str">
        <f t="shared" si="2"/>
        <v>Critical Item</v>
      </c>
    </row>
    <row r="44">
      <c r="A44" s="4" t="str">
        <f>IFERROR(__xludf.DUMMYFUNCTION("""COMPUTED_VALUE"""),"SKU004")</f>
        <v>SKU004</v>
      </c>
      <c r="B44" s="4" t="str">
        <f>IFERROR(__xludf.DUMMYFUNCTION("""COMPUTED_VALUE"""),"A")</f>
        <v>A</v>
      </c>
      <c r="C44" s="4" t="str">
        <f>IFERROR(__xludf.DUMMYFUNCTION("""COMPUTED_VALUE"""),"S")</f>
        <v>S</v>
      </c>
      <c r="D44" s="4" t="str">
        <f t="shared" si="1"/>
        <v>AS</v>
      </c>
      <c r="E44" s="4" t="str">
        <f t="shared" si="2"/>
        <v>Important Item</v>
      </c>
    </row>
    <row r="45">
      <c r="A45" s="4" t="str">
        <f>IFERROR(__xludf.DUMMYFUNCTION("""COMPUTED_VALUE"""),"SKU027")</f>
        <v>SKU027</v>
      </c>
      <c r="B45" s="4" t="str">
        <f>IFERROR(__xludf.DUMMYFUNCTION("""COMPUTED_VALUE"""),"A")</f>
        <v>A</v>
      </c>
      <c r="C45" s="4" t="str">
        <f>IFERROR(__xludf.DUMMYFUNCTION("""COMPUTED_VALUE"""),"F")</f>
        <v>F</v>
      </c>
      <c r="D45" s="4" t="str">
        <f t="shared" si="1"/>
        <v>AF</v>
      </c>
      <c r="E45" s="4" t="str">
        <f t="shared" si="2"/>
        <v>Critical Item</v>
      </c>
    </row>
    <row r="46">
      <c r="A46" s="4" t="str">
        <f>IFERROR(__xludf.DUMMYFUNCTION("""COMPUTED_VALUE"""),"SKU058")</f>
        <v>SKU058</v>
      </c>
      <c r="B46" s="4" t="str">
        <f>IFERROR(__xludf.DUMMYFUNCTION("""COMPUTED_VALUE"""),"A")</f>
        <v>A</v>
      </c>
      <c r="C46" s="4" t="str">
        <f>IFERROR(__xludf.DUMMYFUNCTION("""COMPUTED_VALUE"""),"S")</f>
        <v>S</v>
      </c>
      <c r="D46" s="4" t="str">
        <f t="shared" si="1"/>
        <v>AS</v>
      </c>
      <c r="E46" s="4" t="str">
        <f t="shared" si="2"/>
        <v>Important Item</v>
      </c>
    </row>
    <row r="47">
      <c r="A47" s="4" t="str">
        <f>IFERROR(__xludf.DUMMYFUNCTION("""COMPUTED_VALUE"""),"SKU098")</f>
        <v>SKU098</v>
      </c>
      <c r="B47" s="4" t="str">
        <f>IFERROR(__xludf.DUMMYFUNCTION("""COMPUTED_VALUE"""),"A")</f>
        <v>A</v>
      </c>
      <c r="C47" s="4" t="str">
        <f>IFERROR(__xludf.DUMMYFUNCTION("""COMPUTED_VALUE"""),"S")</f>
        <v>S</v>
      </c>
      <c r="D47" s="4" t="str">
        <f t="shared" si="1"/>
        <v>AS</v>
      </c>
      <c r="E47" s="4" t="str">
        <f t="shared" si="2"/>
        <v>Important Item</v>
      </c>
    </row>
    <row r="48">
      <c r="A48" s="4" t="str">
        <f>IFERROR(__xludf.DUMMYFUNCTION("""COMPUTED_VALUE"""),"SKU090")</f>
        <v>SKU090</v>
      </c>
      <c r="B48" s="4" t="str">
        <f>IFERROR(__xludf.DUMMYFUNCTION("""COMPUTED_VALUE"""),"A")</f>
        <v>A</v>
      </c>
      <c r="C48" s="4" t="str">
        <f>IFERROR(__xludf.DUMMYFUNCTION("""COMPUTED_VALUE"""),"S")</f>
        <v>S</v>
      </c>
      <c r="D48" s="4" t="str">
        <f t="shared" si="1"/>
        <v>AS</v>
      </c>
      <c r="E48" s="4" t="str">
        <f t="shared" si="2"/>
        <v>Important Item</v>
      </c>
    </row>
    <row r="49">
      <c r="A49" s="4" t="str">
        <f>IFERROR(__xludf.DUMMYFUNCTION("""COMPUTED_VALUE"""),"SKU064")</f>
        <v>SKU064</v>
      </c>
      <c r="B49" s="4" t="str">
        <f>IFERROR(__xludf.DUMMYFUNCTION("""COMPUTED_VALUE"""),"A")</f>
        <v>A</v>
      </c>
      <c r="C49" s="4" t="str">
        <f>IFERROR(__xludf.DUMMYFUNCTION("""COMPUTED_VALUE"""),"N")</f>
        <v>N</v>
      </c>
      <c r="D49" s="4" t="str">
        <f t="shared" si="1"/>
        <v>AN</v>
      </c>
      <c r="E49" s="4" t="str">
        <f t="shared" si="2"/>
        <v>Capital Blocked</v>
      </c>
    </row>
    <row r="50">
      <c r="A50" s="4" t="str">
        <f>IFERROR(__xludf.DUMMYFUNCTION("""COMPUTED_VALUE"""),"SKU018")</f>
        <v>SKU018</v>
      </c>
      <c r="B50" s="4" t="str">
        <f>IFERROR(__xludf.DUMMYFUNCTION("""COMPUTED_VALUE"""),"A")</f>
        <v>A</v>
      </c>
      <c r="C50" s="4" t="str">
        <f>IFERROR(__xludf.DUMMYFUNCTION("""COMPUTED_VALUE"""),"S")</f>
        <v>S</v>
      </c>
      <c r="D50" s="4" t="str">
        <f t="shared" si="1"/>
        <v>AS</v>
      </c>
      <c r="E50" s="4" t="str">
        <f t="shared" si="2"/>
        <v>Important Item</v>
      </c>
    </row>
    <row r="51">
      <c r="A51" s="4" t="str">
        <f>IFERROR(__xludf.DUMMYFUNCTION("""COMPUTED_VALUE"""),"SKU096")</f>
        <v>SKU096</v>
      </c>
      <c r="B51" s="4" t="str">
        <f>IFERROR(__xludf.DUMMYFUNCTION("""COMPUTED_VALUE"""),"A")</f>
        <v>A</v>
      </c>
      <c r="C51" s="4" t="str">
        <f>IFERROR(__xludf.DUMMYFUNCTION("""COMPUTED_VALUE"""),"F")</f>
        <v>F</v>
      </c>
      <c r="D51" s="4" t="str">
        <f t="shared" si="1"/>
        <v>AF</v>
      </c>
      <c r="E51" s="4" t="str">
        <f t="shared" si="2"/>
        <v>Critical Item</v>
      </c>
    </row>
    <row r="52">
      <c r="A52" s="4" t="str">
        <f>IFERROR(__xludf.DUMMYFUNCTION("""COMPUTED_VALUE"""),"SKU086")</f>
        <v>SKU086</v>
      </c>
      <c r="B52" s="4" t="str">
        <f>IFERROR(__xludf.DUMMYFUNCTION("""COMPUTED_VALUE"""),"A")</f>
        <v>A</v>
      </c>
      <c r="C52" s="4" t="str">
        <f>IFERROR(__xludf.DUMMYFUNCTION("""COMPUTED_VALUE"""),"S")</f>
        <v>S</v>
      </c>
      <c r="D52" s="4" t="str">
        <f t="shared" si="1"/>
        <v>AS</v>
      </c>
      <c r="E52" s="4" t="str">
        <f t="shared" si="2"/>
        <v>Important Item</v>
      </c>
    </row>
    <row r="53">
      <c r="A53" s="4" t="str">
        <f>IFERROR(__xludf.DUMMYFUNCTION("""COMPUTED_VALUE"""),"SKU006")</f>
        <v>SKU006</v>
      </c>
      <c r="B53" s="4" t="str">
        <f>IFERROR(__xludf.DUMMYFUNCTION("""COMPUTED_VALUE"""),"A")</f>
        <v>A</v>
      </c>
      <c r="C53" s="4" t="str">
        <f>IFERROR(__xludf.DUMMYFUNCTION("""COMPUTED_VALUE"""),"S")</f>
        <v>S</v>
      </c>
      <c r="D53" s="4" t="str">
        <f t="shared" si="1"/>
        <v>AS</v>
      </c>
      <c r="E53" s="4" t="str">
        <f t="shared" si="2"/>
        <v>Important Item</v>
      </c>
    </row>
    <row r="54">
      <c r="A54" s="4" t="str">
        <f>IFERROR(__xludf.DUMMYFUNCTION("""COMPUTED_VALUE"""),"SKU057")</f>
        <v>SKU057</v>
      </c>
      <c r="B54" s="4" t="str">
        <f>IFERROR(__xludf.DUMMYFUNCTION("""COMPUTED_VALUE"""),"A")</f>
        <v>A</v>
      </c>
      <c r="C54" s="4" t="str">
        <f>IFERROR(__xludf.DUMMYFUNCTION("""COMPUTED_VALUE"""),"N")</f>
        <v>N</v>
      </c>
      <c r="D54" s="4" t="str">
        <f t="shared" si="1"/>
        <v>AN</v>
      </c>
      <c r="E54" s="4" t="str">
        <f t="shared" si="2"/>
        <v>Capital Blocked</v>
      </c>
    </row>
    <row r="55">
      <c r="A55" s="4" t="str">
        <f>IFERROR(__xludf.DUMMYFUNCTION("""COMPUTED_VALUE"""),"SKU013")</f>
        <v>SKU013</v>
      </c>
      <c r="B55" s="4" t="str">
        <f>IFERROR(__xludf.DUMMYFUNCTION("""COMPUTED_VALUE"""),"A")</f>
        <v>A</v>
      </c>
      <c r="C55" s="4" t="str">
        <f>IFERROR(__xludf.DUMMYFUNCTION("""COMPUTED_VALUE"""),"S")</f>
        <v>S</v>
      </c>
      <c r="D55" s="4" t="str">
        <f t="shared" si="1"/>
        <v>AS</v>
      </c>
      <c r="E55" s="4" t="str">
        <f t="shared" si="2"/>
        <v>Important Item</v>
      </c>
    </row>
    <row r="56">
      <c r="A56" s="4" t="str">
        <f>IFERROR(__xludf.DUMMYFUNCTION("""COMPUTED_VALUE"""),"SKU055")</f>
        <v>SKU055</v>
      </c>
      <c r="B56" s="4" t="str">
        <f>IFERROR(__xludf.DUMMYFUNCTION("""COMPUTED_VALUE"""),"A")</f>
        <v>A</v>
      </c>
      <c r="C56" s="4" t="str">
        <f>IFERROR(__xludf.DUMMYFUNCTION("""COMPUTED_VALUE"""),"F")</f>
        <v>F</v>
      </c>
      <c r="D56" s="4" t="str">
        <f t="shared" si="1"/>
        <v>AF</v>
      </c>
      <c r="E56" s="4" t="str">
        <f t="shared" si="2"/>
        <v>Critical Item</v>
      </c>
    </row>
    <row r="57">
      <c r="A57" s="4" t="str">
        <f>IFERROR(__xludf.DUMMYFUNCTION("""COMPUTED_VALUE"""),"SKU025")</f>
        <v>SKU025</v>
      </c>
      <c r="B57" s="4" t="str">
        <f>IFERROR(__xludf.DUMMYFUNCTION("""COMPUTED_VALUE"""),"B")</f>
        <v>B</v>
      </c>
      <c r="C57" s="4" t="str">
        <f>IFERROR(__xludf.DUMMYFUNCTION("""COMPUTED_VALUE"""),"F")</f>
        <v>F</v>
      </c>
      <c r="D57" s="4" t="str">
        <f t="shared" si="1"/>
        <v>BF</v>
      </c>
      <c r="E57" s="4" t="str">
        <f t="shared" si="2"/>
        <v>Regular Fast Mover</v>
      </c>
    </row>
    <row r="58">
      <c r="A58" s="4" t="str">
        <f>IFERROR(__xludf.DUMMYFUNCTION("""COMPUTED_VALUE"""),"SKU037")</f>
        <v>SKU037</v>
      </c>
      <c r="B58" s="4" t="str">
        <f>IFERROR(__xludf.DUMMYFUNCTION("""COMPUTED_VALUE"""),"B")</f>
        <v>B</v>
      </c>
      <c r="C58" s="4" t="str">
        <f>IFERROR(__xludf.DUMMYFUNCTION("""COMPUTED_VALUE"""),"N")</f>
        <v>N</v>
      </c>
      <c r="D58" s="4" t="str">
        <f t="shared" si="1"/>
        <v>BN</v>
      </c>
      <c r="E58" s="4" t="str">
        <f t="shared" si="2"/>
        <v>Slow Asset</v>
      </c>
    </row>
    <row r="59">
      <c r="A59" s="4" t="str">
        <f>IFERROR(__xludf.DUMMYFUNCTION("""COMPUTED_VALUE"""),"SKU070")</f>
        <v>SKU070</v>
      </c>
      <c r="B59" s="4" t="str">
        <f>IFERROR(__xludf.DUMMYFUNCTION("""COMPUTED_VALUE"""),"B")</f>
        <v>B</v>
      </c>
      <c r="C59" s="4" t="str">
        <f>IFERROR(__xludf.DUMMYFUNCTION("""COMPUTED_VALUE"""),"S")</f>
        <v>S</v>
      </c>
      <c r="D59" s="4" t="str">
        <f t="shared" si="1"/>
        <v>BS</v>
      </c>
      <c r="E59" s="4" t="str">
        <f t="shared" si="2"/>
        <v>Routine Stock</v>
      </c>
    </row>
    <row r="60">
      <c r="A60" s="4" t="str">
        <f>IFERROR(__xludf.DUMMYFUNCTION("""COMPUTED_VALUE"""),"SKU014")</f>
        <v>SKU014</v>
      </c>
      <c r="B60" s="4" t="str">
        <f>IFERROR(__xludf.DUMMYFUNCTION("""COMPUTED_VALUE"""),"B")</f>
        <v>B</v>
      </c>
      <c r="C60" s="4" t="str">
        <f>IFERROR(__xludf.DUMMYFUNCTION("""COMPUTED_VALUE"""),"N")</f>
        <v>N</v>
      </c>
      <c r="D60" s="4" t="str">
        <f t="shared" si="1"/>
        <v>BN</v>
      </c>
      <c r="E60" s="4" t="str">
        <f t="shared" si="2"/>
        <v>Slow Asset</v>
      </c>
    </row>
    <row r="61">
      <c r="A61" s="4" t="str">
        <f>IFERROR(__xludf.DUMMYFUNCTION("""COMPUTED_VALUE"""),"SKU038")</f>
        <v>SKU038</v>
      </c>
      <c r="B61" s="4" t="str">
        <f>IFERROR(__xludf.DUMMYFUNCTION("""COMPUTED_VALUE"""),"B")</f>
        <v>B</v>
      </c>
      <c r="C61" s="4" t="str">
        <f>IFERROR(__xludf.DUMMYFUNCTION("""COMPUTED_VALUE"""),"S")</f>
        <v>S</v>
      </c>
      <c r="D61" s="4" t="str">
        <f t="shared" si="1"/>
        <v>BS</v>
      </c>
      <c r="E61" s="4" t="str">
        <f t="shared" si="2"/>
        <v>Routine Stock</v>
      </c>
    </row>
    <row r="62">
      <c r="A62" s="4" t="str">
        <f>IFERROR(__xludf.DUMMYFUNCTION("""COMPUTED_VALUE"""),"SKU082")</f>
        <v>SKU082</v>
      </c>
      <c r="B62" s="4" t="str">
        <f>IFERROR(__xludf.DUMMYFUNCTION("""COMPUTED_VALUE"""),"B")</f>
        <v>B</v>
      </c>
      <c r="C62" s="4" t="str">
        <f>IFERROR(__xludf.DUMMYFUNCTION("""COMPUTED_VALUE"""),"F")</f>
        <v>F</v>
      </c>
      <c r="D62" s="4" t="str">
        <f t="shared" si="1"/>
        <v>BF</v>
      </c>
      <c r="E62" s="4" t="str">
        <f t="shared" si="2"/>
        <v>Regular Fast Mover</v>
      </c>
    </row>
    <row r="63">
      <c r="A63" s="4" t="str">
        <f>IFERROR(__xludf.DUMMYFUNCTION("""COMPUTED_VALUE"""),"SKU024")</f>
        <v>SKU024</v>
      </c>
      <c r="B63" s="4" t="str">
        <f>IFERROR(__xludf.DUMMYFUNCTION("""COMPUTED_VALUE"""),"B")</f>
        <v>B</v>
      </c>
      <c r="C63" s="4" t="str">
        <f>IFERROR(__xludf.DUMMYFUNCTION("""COMPUTED_VALUE"""),"S")</f>
        <v>S</v>
      </c>
      <c r="D63" s="4" t="str">
        <f t="shared" si="1"/>
        <v>BS</v>
      </c>
      <c r="E63" s="4" t="str">
        <f t="shared" si="2"/>
        <v>Routine Stock</v>
      </c>
    </row>
    <row r="64">
      <c r="A64" s="4" t="str">
        <f>IFERROR(__xludf.DUMMYFUNCTION("""COMPUTED_VALUE"""),"SKU021")</f>
        <v>SKU021</v>
      </c>
      <c r="B64" s="4" t="str">
        <f>IFERROR(__xludf.DUMMYFUNCTION("""COMPUTED_VALUE"""),"B")</f>
        <v>B</v>
      </c>
      <c r="C64" s="4" t="str">
        <f>IFERROR(__xludf.DUMMYFUNCTION("""COMPUTED_VALUE"""),"S")</f>
        <v>S</v>
      </c>
      <c r="D64" s="4" t="str">
        <f t="shared" si="1"/>
        <v>BS</v>
      </c>
      <c r="E64" s="4" t="str">
        <f t="shared" si="2"/>
        <v>Routine Stock</v>
      </c>
    </row>
    <row r="65">
      <c r="A65" s="4" t="str">
        <f>IFERROR(__xludf.DUMMYFUNCTION("""COMPUTED_VALUE"""),"SKU076")</f>
        <v>SKU076</v>
      </c>
      <c r="B65" s="4" t="str">
        <f>IFERROR(__xludf.DUMMYFUNCTION("""COMPUTED_VALUE"""),"B")</f>
        <v>B</v>
      </c>
      <c r="C65" s="4" t="str">
        <f>IFERROR(__xludf.DUMMYFUNCTION("""COMPUTED_VALUE"""),"F")</f>
        <v>F</v>
      </c>
      <c r="D65" s="4" t="str">
        <f t="shared" si="1"/>
        <v>BF</v>
      </c>
      <c r="E65" s="4" t="str">
        <f t="shared" si="2"/>
        <v>Regular Fast Mover</v>
      </c>
    </row>
    <row r="66">
      <c r="A66" s="4" t="str">
        <f>IFERROR(__xludf.DUMMYFUNCTION("""COMPUTED_VALUE"""),"SKU020")</f>
        <v>SKU020</v>
      </c>
      <c r="B66" s="4" t="str">
        <f>IFERROR(__xludf.DUMMYFUNCTION("""COMPUTED_VALUE"""),"B")</f>
        <v>B</v>
      </c>
      <c r="C66" s="4" t="str">
        <f>IFERROR(__xludf.DUMMYFUNCTION("""COMPUTED_VALUE"""),"S")</f>
        <v>S</v>
      </c>
      <c r="D66" s="4" t="str">
        <f t="shared" si="1"/>
        <v>BS</v>
      </c>
      <c r="E66" s="4" t="str">
        <f t="shared" si="2"/>
        <v>Routine Stock</v>
      </c>
    </row>
    <row r="67">
      <c r="A67" s="4" t="str">
        <f>IFERROR(__xludf.DUMMYFUNCTION("""COMPUTED_VALUE"""),"SKU072")</f>
        <v>SKU072</v>
      </c>
      <c r="B67" s="4" t="str">
        <f>IFERROR(__xludf.DUMMYFUNCTION("""COMPUTED_VALUE"""),"B")</f>
        <v>B</v>
      </c>
      <c r="C67" s="4" t="str">
        <f>IFERROR(__xludf.DUMMYFUNCTION("""COMPUTED_VALUE"""),"S")</f>
        <v>S</v>
      </c>
      <c r="D67" s="4" t="str">
        <f t="shared" si="1"/>
        <v>BS</v>
      </c>
      <c r="E67" s="4" t="str">
        <f t="shared" si="2"/>
        <v>Routine Stock</v>
      </c>
    </row>
    <row r="68">
      <c r="A68" s="4" t="str">
        <f>IFERROR(__xludf.DUMMYFUNCTION("""COMPUTED_VALUE"""),"SKU047")</f>
        <v>SKU047</v>
      </c>
      <c r="B68" s="4" t="str">
        <f>IFERROR(__xludf.DUMMYFUNCTION("""COMPUTED_VALUE"""),"B")</f>
        <v>B</v>
      </c>
      <c r="C68" s="4" t="str">
        <f>IFERROR(__xludf.DUMMYFUNCTION("""COMPUTED_VALUE"""),"F")</f>
        <v>F</v>
      </c>
      <c r="D68" s="4" t="str">
        <f t="shared" si="1"/>
        <v>BF</v>
      </c>
      <c r="E68" s="4" t="str">
        <f t="shared" si="2"/>
        <v>Regular Fast Mover</v>
      </c>
    </row>
    <row r="69">
      <c r="A69" s="4" t="str">
        <f>IFERROR(__xludf.DUMMYFUNCTION("""COMPUTED_VALUE"""),"SKU097")</f>
        <v>SKU097</v>
      </c>
      <c r="B69" s="4" t="str">
        <f>IFERROR(__xludf.DUMMYFUNCTION("""COMPUTED_VALUE"""),"B")</f>
        <v>B</v>
      </c>
      <c r="C69" s="4" t="str">
        <f>IFERROR(__xludf.DUMMYFUNCTION("""COMPUTED_VALUE"""),"N")</f>
        <v>N</v>
      </c>
      <c r="D69" s="4" t="str">
        <f t="shared" si="1"/>
        <v>BN</v>
      </c>
      <c r="E69" s="4" t="str">
        <f t="shared" si="2"/>
        <v>Slow Asset</v>
      </c>
    </row>
    <row r="70">
      <c r="A70" s="4" t="str">
        <f>IFERROR(__xludf.DUMMYFUNCTION("""COMPUTED_VALUE"""),"SKU052")</f>
        <v>SKU052</v>
      </c>
      <c r="B70" s="4" t="str">
        <f>IFERROR(__xludf.DUMMYFUNCTION("""COMPUTED_VALUE"""),"B")</f>
        <v>B</v>
      </c>
      <c r="C70" s="4" t="str">
        <f>IFERROR(__xludf.DUMMYFUNCTION("""COMPUTED_VALUE"""),"F")</f>
        <v>F</v>
      </c>
      <c r="D70" s="4" t="str">
        <f t="shared" si="1"/>
        <v>BF</v>
      </c>
      <c r="E70" s="4" t="str">
        <f t="shared" si="2"/>
        <v>Regular Fast Mover</v>
      </c>
    </row>
    <row r="71">
      <c r="A71" s="4" t="str">
        <f>IFERROR(__xludf.DUMMYFUNCTION("""COMPUTED_VALUE"""),"SKU043")</f>
        <v>SKU043</v>
      </c>
      <c r="B71" s="4" t="str">
        <f>IFERROR(__xludf.DUMMYFUNCTION("""COMPUTED_VALUE"""),"B")</f>
        <v>B</v>
      </c>
      <c r="C71" s="4" t="str">
        <f>IFERROR(__xludf.DUMMYFUNCTION("""COMPUTED_VALUE"""),"F")</f>
        <v>F</v>
      </c>
      <c r="D71" s="4" t="str">
        <f t="shared" si="1"/>
        <v>BF</v>
      </c>
      <c r="E71" s="4" t="str">
        <f t="shared" si="2"/>
        <v>Regular Fast Mover</v>
      </c>
    </row>
    <row r="72">
      <c r="A72" s="4" t="str">
        <f>IFERROR(__xludf.DUMMYFUNCTION("""COMPUTED_VALUE"""),"SKU066")</f>
        <v>SKU066</v>
      </c>
      <c r="B72" s="4" t="str">
        <f>IFERROR(__xludf.DUMMYFUNCTION("""COMPUTED_VALUE"""),"B")</f>
        <v>B</v>
      </c>
      <c r="C72" s="4" t="str">
        <f>IFERROR(__xludf.DUMMYFUNCTION("""COMPUTED_VALUE"""),"S")</f>
        <v>S</v>
      </c>
      <c r="D72" s="4" t="str">
        <f t="shared" si="1"/>
        <v>BS</v>
      </c>
      <c r="E72" s="4" t="str">
        <f t="shared" si="2"/>
        <v>Routine Stock</v>
      </c>
    </row>
    <row r="73">
      <c r="A73" s="4" t="str">
        <f>IFERROR(__xludf.DUMMYFUNCTION("""COMPUTED_VALUE"""),"SKU028")</f>
        <v>SKU028</v>
      </c>
      <c r="B73" s="4" t="str">
        <f>IFERROR(__xludf.DUMMYFUNCTION("""COMPUTED_VALUE"""),"B")</f>
        <v>B</v>
      </c>
      <c r="C73" s="4" t="str">
        <f>IFERROR(__xludf.DUMMYFUNCTION("""COMPUTED_VALUE"""),"S")</f>
        <v>S</v>
      </c>
      <c r="D73" s="4" t="str">
        <f t="shared" si="1"/>
        <v>BS</v>
      </c>
      <c r="E73" s="4" t="str">
        <f t="shared" si="2"/>
        <v>Routine Stock</v>
      </c>
    </row>
    <row r="74">
      <c r="A74" s="4" t="str">
        <f>IFERROR(__xludf.DUMMYFUNCTION("""COMPUTED_VALUE"""),"SKU091")</f>
        <v>SKU091</v>
      </c>
      <c r="B74" s="4" t="str">
        <f>IFERROR(__xludf.DUMMYFUNCTION("""COMPUTED_VALUE"""),"B")</f>
        <v>B</v>
      </c>
      <c r="C74" s="4" t="str">
        <f>IFERROR(__xludf.DUMMYFUNCTION("""COMPUTED_VALUE"""),"N")</f>
        <v>N</v>
      </c>
      <c r="D74" s="4" t="str">
        <f t="shared" si="1"/>
        <v>BN</v>
      </c>
      <c r="E74" s="4" t="str">
        <f t="shared" si="2"/>
        <v>Slow Asset</v>
      </c>
    </row>
    <row r="75">
      <c r="A75" s="4" t="str">
        <f>IFERROR(__xludf.DUMMYFUNCTION("""COMPUTED_VALUE"""),"SKU080")</f>
        <v>SKU080</v>
      </c>
      <c r="B75" s="4" t="str">
        <f>IFERROR(__xludf.DUMMYFUNCTION("""COMPUTED_VALUE"""),"B")</f>
        <v>B</v>
      </c>
      <c r="C75" s="4" t="str">
        <f>IFERROR(__xludf.DUMMYFUNCTION("""COMPUTED_VALUE"""),"S")</f>
        <v>S</v>
      </c>
      <c r="D75" s="4" t="str">
        <f t="shared" si="1"/>
        <v>BS</v>
      </c>
      <c r="E75" s="4" t="str">
        <f t="shared" si="2"/>
        <v>Routine Stock</v>
      </c>
    </row>
    <row r="76">
      <c r="A76" s="4" t="str">
        <f>IFERROR(__xludf.DUMMYFUNCTION("""COMPUTED_VALUE"""),"SKU087")</f>
        <v>SKU087</v>
      </c>
      <c r="B76" s="4" t="str">
        <f>IFERROR(__xludf.DUMMYFUNCTION("""COMPUTED_VALUE"""),"B")</f>
        <v>B</v>
      </c>
      <c r="C76" s="4" t="str">
        <f>IFERROR(__xludf.DUMMYFUNCTION("""COMPUTED_VALUE"""),"S")</f>
        <v>S</v>
      </c>
      <c r="D76" s="4" t="str">
        <f t="shared" si="1"/>
        <v>BS</v>
      </c>
      <c r="E76" s="4" t="str">
        <f t="shared" si="2"/>
        <v>Routine Stock</v>
      </c>
    </row>
    <row r="77">
      <c r="A77" s="4" t="str">
        <f>IFERROR(__xludf.DUMMYFUNCTION("""COMPUTED_VALUE"""),"SKU069")</f>
        <v>SKU069</v>
      </c>
      <c r="B77" s="4" t="str">
        <f>IFERROR(__xludf.DUMMYFUNCTION("""COMPUTED_VALUE"""),"B")</f>
        <v>B</v>
      </c>
      <c r="C77" s="4" t="str">
        <f>IFERROR(__xludf.DUMMYFUNCTION("""COMPUTED_VALUE"""),"F")</f>
        <v>F</v>
      </c>
      <c r="D77" s="4" t="str">
        <f t="shared" si="1"/>
        <v>BF</v>
      </c>
      <c r="E77" s="4" t="str">
        <f t="shared" si="2"/>
        <v>Regular Fast Mover</v>
      </c>
    </row>
    <row r="78">
      <c r="A78" s="4" t="str">
        <f>IFERROR(__xludf.DUMMYFUNCTION("""COMPUTED_VALUE"""),"SKU079")</f>
        <v>SKU079</v>
      </c>
      <c r="B78" s="4" t="str">
        <f>IFERROR(__xludf.DUMMYFUNCTION("""COMPUTED_VALUE"""),"B")</f>
        <v>B</v>
      </c>
      <c r="C78" s="4" t="str">
        <f>IFERROR(__xludf.DUMMYFUNCTION("""COMPUTED_VALUE"""),"S")</f>
        <v>S</v>
      </c>
      <c r="D78" s="4" t="str">
        <f t="shared" si="1"/>
        <v>BS</v>
      </c>
      <c r="E78" s="4" t="str">
        <f t="shared" si="2"/>
        <v>Routine Stock</v>
      </c>
    </row>
    <row r="79">
      <c r="A79" s="4" t="str">
        <f>IFERROR(__xludf.DUMMYFUNCTION("""COMPUTED_VALUE"""),"SKU022")</f>
        <v>SKU022</v>
      </c>
      <c r="B79" s="4" t="str">
        <f>IFERROR(__xludf.DUMMYFUNCTION("""COMPUTED_VALUE"""),"C")</f>
        <v>C</v>
      </c>
      <c r="C79" s="4" t="str">
        <f>IFERROR(__xludf.DUMMYFUNCTION("""COMPUTED_VALUE"""),"S")</f>
        <v>S</v>
      </c>
      <c r="D79" s="4" t="str">
        <f t="shared" si="1"/>
        <v>CS</v>
      </c>
      <c r="E79" s="4" t="str">
        <f t="shared" si="2"/>
        <v>Low Priority Stock</v>
      </c>
    </row>
    <row r="80">
      <c r="A80" s="4" t="str">
        <f>IFERROR(__xludf.DUMMYFUNCTION("""COMPUTED_VALUE"""),"SKU017")</f>
        <v>SKU017</v>
      </c>
      <c r="B80" s="4" t="str">
        <f>IFERROR(__xludf.DUMMYFUNCTION("""COMPUTED_VALUE"""),"C")</f>
        <v>C</v>
      </c>
      <c r="C80" s="4" t="str">
        <f>IFERROR(__xludf.DUMMYFUNCTION("""COMPUTED_VALUE"""),"F")</f>
        <v>F</v>
      </c>
      <c r="D80" s="4" t="str">
        <f t="shared" si="1"/>
        <v>CF</v>
      </c>
      <c r="E80" s="4" t="str">
        <f t="shared" si="2"/>
        <v>Consumable Item</v>
      </c>
    </row>
    <row r="81">
      <c r="A81" s="4" t="str">
        <f>IFERROR(__xludf.DUMMYFUNCTION("""COMPUTED_VALUE"""),"SKU054")</f>
        <v>SKU054</v>
      </c>
      <c r="B81" s="4" t="str">
        <f>IFERROR(__xludf.DUMMYFUNCTION("""COMPUTED_VALUE"""),"C")</f>
        <v>C</v>
      </c>
      <c r="C81" s="4" t="str">
        <f>IFERROR(__xludf.DUMMYFUNCTION("""COMPUTED_VALUE"""),"F")</f>
        <v>F</v>
      </c>
      <c r="D81" s="4" t="str">
        <f t="shared" si="1"/>
        <v>CF</v>
      </c>
      <c r="E81" s="4" t="str">
        <f t="shared" si="2"/>
        <v>Consumable Item</v>
      </c>
    </row>
    <row r="82">
      <c r="A82" s="4" t="str">
        <f>IFERROR(__xludf.DUMMYFUNCTION("""COMPUTED_VALUE"""),"SKU008")</f>
        <v>SKU008</v>
      </c>
      <c r="B82" s="4" t="str">
        <f>IFERROR(__xludf.DUMMYFUNCTION("""COMPUTED_VALUE"""),"C")</f>
        <v>C</v>
      </c>
      <c r="C82" s="4" t="str">
        <f>IFERROR(__xludf.DUMMYFUNCTION("""COMPUTED_VALUE"""),"S")</f>
        <v>S</v>
      </c>
      <c r="D82" s="4" t="str">
        <f t="shared" si="1"/>
        <v>CS</v>
      </c>
      <c r="E82" s="4" t="str">
        <f t="shared" si="2"/>
        <v>Low Priority Stock</v>
      </c>
    </row>
    <row r="83">
      <c r="A83" s="4" t="str">
        <f>IFERROR(__xludf.DUMMYFUNCTION("""COMPUTED_VALUE"""),"SKU059")</f>
        <v>SKU059</v>
      </c>
      <c r="B83" s="4" t="str">
        <f>IFERROR(__xludf.DUMMYFUNCTION("""COMPUTED_VALUE"""),"C")</f>
        <v>C</v>
      </c>
      <c r="C83" s="4" t="str">
        <f>IFERROR(__xludf.DUMMYFUNCTION("""COMPUTED_VALUE"""),"S")</f>
        <v>S</v>
      </c>
      <c r="D83" s="4" t="str">
        <f t="shared" si="1"/>
        <v>CS</v>
      </c>
      <c r="E83" s="4" t="str">
        <f t="shared" si="2"/>
        <v>Low Priority Stock</v>
      </c>
    </row>
    <row r="84">
      <c r="A84" s="4" t="str">
        <f>IFERROR(__xludf.DUMMYFUNCTION("""COMPUTED_VALUE"""),"SKU065")</f>
        <v>SKU065</v>
      </c>
      <c r="B84" s="4" t="str">
        <f>IFERROR(__xludf.DUMMYFUNCTION("""COMPUTED_VALUE"""),"C")</f>
        <v>C</v>
      </c>
      <c r="C84" s="4" t="str">
        <f>IFERROR(__xludf.DUMMYFUNCTION("""COMPUTED_VALUE"""),"F")</f>
        <v>F</v>
      </c>
      <c r="D84" s="4" t="str">
        <f t="shared" si="1"/>
        <v>CF</v>
      </c>
      <c r="E84" s="4" t="str">
        <f t="shared" si="2"/>
        <v>Consumable Item</v>
      </c>
    </row>
    <row r="85">
      <c r="A85" s="4" t="str">
        <f>IFERROR(__xludf.DUMMYFUNCTION("""COMPUTED_VALUE"""),"SKU032")</f>
        <v>SKU032</v>
      </c>
      <c r="B85" s="4" t="str">
        <f>IFERROR(__xludf.DUMMYFUNCTION("""COMPUTED_VALUE"""),"C")</f>
        <v>C</v>
      </c>
      <c r="C85" s="4" t="str">
        <f>IFERROR(__xludf.DUMMYFUNCTION("""COMPUTED_VALUE"""),"S")</f>
        <v>S</v>
      </c>
      <c r="D85" s="4" t="str">
        <f t="shared" si="1"/>
        <v>CS</v>
      </c>
      <c r="E85" s="4" t="str">
        <f t="shared" si="2"/>
        <v>Low Priority Stock</v>
      </c>
    </row>
    <row r="86">
      <c r="A86" s="4" t="str">
        <f>IFERROR(__xludf.DUMMYFUNCTION("""COMPUTED_VALUE"""),"SKU001")</f>
        <v>SKU001</v>
      </c>
      <c r="B86" s="4" t="str">
        <f>IFERROR(__xludf.DUMMYFUNCTION("""COMPUTED_VALUE"""),"C")</f>
        <v>C</v>
      </c>
      <c r="C86" s="4" t="str">
        <f>IFERROR(__xludf.DUMMYFUNCTION("""COMPUTED_VALUE"""),"F")</f>
        <v>F</v>
      </c>
      <c r="D86" s="4" t="str">
        <f t="shared" si="1"/>
        <v>CF</v>
      </c>
      <c r="E86" s="4" t="str">
        <f t="shared" si="2"/>
        <v>Consumable Item</v>
      </c>
    </row>
    <row r="87">
      <c r="A87" s="4" t="str">
        <f>IFERROR(__xludf.DUMMYFUNCTION("""COMPUTED_VALUE"""),"SKU051")</f>
        <v>SKU051</v>
      </c>
      <c r="B87" s="4" t="str">
        <f>IFERROR(__xludf.DUMMYFUNCTION("""COMPUTED_VALUE"""),"C")</f>
        <v>C</v>
      </c>
      <c r="C87" s="4" t="str">
        <f>IFERROR(__xludf.DUMMYFUNCTION("""COMPUTED_VALUE"""),"N")</f>
        <v>N</v>
      </c>
      <c r="D87" s="4" t="str">
        <f t="shared" si="1"/>
        <v>CN</v>
      </c>
      <c r="E87" s="4" t="str">
        <f t="shared" si="2"/>
        <v>Dead Stock Candidate</v>
      </c>
    </row>
    <row r="88">
      <c r="A88" s="4" t="str">
        <f>IFERROR(__xludf.DUMMYFUNCTION("""COMPUTED_VALUE"""),"SKU100")</f>
        <v>SKU100</v>
      </c>
      <c r="B88" s="4" t="str">
        <f>IFERROR(__xludf.DUMMYFUNCTION("""COMPUTED_VALUE"""),"C")</f>
        <v>C</v>
      </c>
      <c r="C88" s="4" t="str">
        <f>IFERROR(__xludf.DUMMYFUNCTION("""COMPUTED_VALUE"""),"N")</f>
        <v>N</v>
      </c>
      <c r="D88" s="4" t="str">
        <f t="shared" si="1"/>
        <v>CN</v>
      </c>
      <c r="E88" s="4" t="str">
        <f t="shared" si="2"/>
        <v>Dead Stock Candidate</v>
      </c>
    </row>
    <row r="89">
      <c r="A89" s="4" t="str">
        <f>IFERROR(__xludf.DUMMYFUNCTION("""COMPUTED_VALUE"""),"SKU099")</f>
        <v>SKU099</v>
      </c>
      <c r="B89" s="4" t="str">
        <f>IFERROR(__xludf.DUMMYFUNCTION("""COMPUTED_VALUE"""),"C")</f>
        <v>C</v>
      </c>
      <c r="C89" s="4" t="str">
        <f>IFERROR(__xludf.DUMMYFUNCTION("""COMPUTED_VALUE"""),"F")</f>
        <v>F</v>
      </c>
      <c r="D89" s="4" t="str">
        <f t="shared" si="1"/>
        <v>CF</v>
      </c>
      <c r="E89" s="4" t="str">
        <f t="shared" si="2"/>
        <v>Consumable Item</v>
      </c>
    </row>
    <row r="90">
      <c r="A90" s="4" t="str">
        <f>IFERROR(__xludf.DUMMYFUNCTION("""COMPUTED_VALUE"""),"SKU036")</f>
        <v>SKU036</v>
      </c>
      <c r="B90" s="4" t="str">
        <f>IFERROR(__xludf.DUMMYFUNCTION("""COMPUTED_VALUE"""),"C")</f>
        <v>C</v>
      </c>
      <c r="C90" s="4" t="str">
        <f>IFERROR(__xludf.DUMMYFUNCTION("""COMPUTED_VALUE"""),"S")</f>
        <v>S</v>
      </c>
      <c r="D90" s="4" t="str">
        <f t="shared" si="1"/>
        <v>CS</v>
      </c>
      <c r="E90" s="4" t="str">
        <f t="shared" si="2"/>
        <v>Low Priority Stock</v>
      </c>
    </row>
    <row r="91">
      <c r="A91" s="4" t="str">
        <f>IFERROR(__xludf.DUMMYFUNCTION("""COMPUTED_VALUE"""),"SKU009")</f>
        <v>SKU009</v>
      </c>
      <c r="B91" s="4" t="str">
        <f>IFERROR(__xludf.DUMMYFUNCTION("""COMPUTED_VALUE"""),"C")</f>
        <v>C</v>
      </c>
      <c r="C91" s="4" t="str">
        <f>IFERROR(__xludf.DUMMYFUNCTION("""COMPUTED_VALUE"""),"F")</f>
        <v>F</v>
      </c>
      <c r="D91" s="4" t="str">
        <f t="shared" si="1"/>
        <v>CF</v>
      </c>
      <c r="E91" s="4" t="str">
        <f t="shared" si="2"/>
        <v>Consumable Item</v>
      </c>
    </row>
    <row r="92">
      <c r="A92" s="4" t="str">
        <f>IFERROR(__xludf.DUMMYFUNCTION("""COMPUTED_VALUE"""),"SKU095")</f>
        <v>SKU095</v>
      </c>
      <c r="B92" s="4" t="str">
        <f>IFERROR(__xludf.DUMMYFUNCTION("""COMPUTED_VALUE"""),"C")</f>
        <v>C</v>
      </c>
      <c r="C92" s="4" t="str">
        <f>IFERROR(__xludf.DUMMYFUNCTION("""COMPUTED_VALUE"""),"N")</f>
        <v>N</v>
      </c>
      <c r="D92" s="4" t="str">
        <f t="shared" si="1"/>
        <v>CN</v>
      </c>
      <c r="E92" s="4" t="str">
        <f t="shared" si="2"/>
        <v>Dead Stock Candidate</v>
      </c>
    </row>
    <row r="93">
      <c r="A93" s="4" t="str">
        <f>IFERROR(__xludf.DUMMYFUNCTION("""COMPUTED_VALUE"""),"SKU073")</f>
        <v>SKU073</v>
      </c>
      <c r="B93" s="4" t="str">
        <f>IFERROR(__xludf.DUMMYFUNCTION("""COMPUTED_VALUE"""),"C")</f>
        <v>C</v>
      </c>
      <c r="C93" s="4" t="str">
        <f>IFERROR(__xludf.DUMMYFUNCTION("""COMPUTED_VALUE"""),"F")</f>
        <v>F</v>
      </c>
      <c r="D93" s="4" t="str">
        <f t="shared" si="1"/>
        <v>CF</v>
      </c>
      <c r="E93" s="4" t="str">
        <f t="shared" si="2"/>
        <v>Consumable Item</v>
      </c>
    </row>
    <row r="94">
      <c r="A94" s="4" t="str">
        <f>IFERROR(__xludf.DUMMYFUNCTION("""COMPUTED_VALUE"""),"SKU005")</f>
        <v>SKU005</v>
      </c>
      <c r="B94" s="4" t="str">
        <f>IFERROR(__xludf.DUMMYFUNCTION("""COMPUTED_VALUE"""),"C")</f>
        <v>C</v>
      </c>
      <c r="C94" s="4" t="str">
        <f>IFERROR(__xludf.DUMMYFUNCTION("""COMPUTED_VALUE"""),"S")</f>
        <v>S</v>
      </c>
      <c r="D94" s="4" t="str">
        <f t="shared" si="1"/>
        <v>CS</v>
      </c>
      <c r="E94" s="4" t="str">
        <f t="shared" si="2"/>
        <v>Low Priority Stock</v>
      </c>
    </row>
    <row r="95">
      <c r="A95" s="4" t="str">
        <f>IFERROR(__xludf.DUMMYFUNCTION("""COMPUTED_VALUE"""),"SKU011")</f>
        <v>SKU011</v>
      </c>
      <c r="B95" s="4" t="str">
        <f>IFERROR(__xludf.DUMMYFUNCTION("""COMPUTED_VALUE"""),"C")</f>
        <v>C</v>
      </c>
      <c r="C95" s="4" t="str">
        <f>IFERROR(__xludf.DUMMYFUNCTION("""COMPUTED_VALUE"""),"S")</f>
        <v>S</v>
      </c>
      <c r="D95" s="4" t="str">
        <f t="shared" si="1"/>
        <v>CS</v>
      </c>
      <c r="E95" s="4" t="str">
        <f t="shared" si="2"/>
        <v>Low Priority Stock</v>
      </c>
    </row>
    <row r="96">
      <c r="A96" s="4" t="str">
        <f>IFERROR(__xludf.DUMMYFUNCTION("""COMPUTED_VALUE"""),"SKU074")</f>
        <v>SKU074</v>
      </c>
      <c r="B96" s="4" t="str">
        <f>IFERROR(__xludf.DUMMYFUNCTION("""COMPUTED_VALUE"""),"C")</f>
        <v>C</v>
      </c>
      <c r="C96" s="4" t="str">
        <f>IFERROR(__xludf.DUMMYFUNCTION("""COMPUTED_VALUE"""),"N")</f>
        <v>N</v>
      </c>
      <c r="D96" s="4" t="str">
        <f t="shared" si="1"/>
        <v>CN</v>
      </c>
      <c r="E96" s="4" t="str">
        <f t="shared" si="2"/>
        <v>Dead Stock Candidate</v>
      </c>
    </row>
    <row r="97">
      <c r="A97" s="4" t="str">
        <f>IFERROR(__xludf.DUMMYFUNCTION("""COMPUTED_VALUE"""),"SKU077")</f>
        <v>SKU077</v>
      </c>
      <c r="B97" s="4" t="str">
        <f>IFERROR(__xludf.DUMMYFUNCTION("""COMPUTED_VALUE"""),"C")</f>
        <v>C</v>
      </c>
      <c r="C97" s="4" t="str">
        <f>IFERROR(__xludf.DUMMYFUNCTION("""COMPUTED_VALUE"""),"N")</f>
        <v>N</v>
      </c>
      <c r="D97" s="4" t="str">
        <f t="shared" si="1"/>
        <v>CN</v>
      </c>
      <c r="E97" s="4" t="str">
        <f t="shared" si="2"/>
        <v>Dead Stock Candidate</v>
      </c>
    </row>
    <row r="98">
      <c r="A98" s="4" t="str">
        <f>IFERROR(__xludf.DUMMYFUNCTION("""COMPUTED_VALUE"""),"SKU061")</f>
        <v>SKU061</v>
      </c>
      <c r="B98" s="4" t="str">
        <f>IFERROR(__xludf.DUMMYFUNCTION("""COMPUTED_VALUE"""),"C")</f>
        <v>C</v>
      </c>
      <c r="C98" s="4" t="str">
        <f>IFERROR(__xludf.DUMMYFUNCTION("""COMPUTED_VALUE"""),"S")</f>
        <v>S</v>
      </c>
      <c r="D98" s="4" t="str">
        <f t="shared" si="1"/>
        <v>CS</v>
      </c>
      <c r="E98" s="4" t="str">
        <f t="shared" si="2"/>
        <v>Low Priority Stock</v>
      </c>
    </row>
    <row r="99">
      <c r="A99" s="4" t="str">
        <f>IFERROR(__xludf.DUMMYFUNCTION("""COMPUTED_VALUE"""),"SKU056")</f>
        <v>SKU056</v>
      </c>
      <c r="B99" s="4" t="str">
        <f>IFERROR(__xludf.DUMMYFUNCTION("""COMPUTED_VALUE"""),"C")</f>
        <v>C</v>
      </c>
      <c r="C99" s="4" t="str">
        <f>IFERROR(__xludf.DUMMYFUNCTION("""COMPUTED_VALUE"""),"N")</f>
        <v>N</v>
      </c>
      <c r="D99" s="4" t="str">
        <f t="shared" si="1"/>
        <v>CN</v>
      </c>
      <c r="E99" s="4" t="str">
        <f t="shared" si="2"/>
        <v>Dead Stock Candidate</v>
      </c>
    </row>
    <row r="100">
      <c r="A100" s="4" t="str">
        <f>IFERROR(__xludf.DUMMYFUNCTION("""COMPUTED_VALUE"""),"SKU093")</f>
        <v>SKU093</v>
      </c>
      <c r="B100" s="4" t="str">
        <f>IFERROR(__xludf.DUMMYFUNCTION("""COMPUTED_VALUE"""),"C")</f>
        <v>C</v>
      </c>
      <c r="C100" s="4" t="str">
        <f>IFERROR(__xludf.DUMMYFUNCTION("""COMPUTED_VALUE"""),"S")</f>
        <v>S</v>
      </c>
      <c r="D100" s="4" t="str">
        <f t="shared" si="1"/>
        <v>CS</v>
      </c>
      <c r="E100" s="4" t="str">
        <f t="shared" si="2"/>
        <v>Low Priority Stock</v>
      </c>
    </row>
    <row r="101">
      <c r="A101" s="4" t="str">
        <f>IFERROR(__xludf.DUMMYFUNCTION("""COMPUTED_VALUE"""),"SKU084")</f>
        <v>SKU084</v>
      </c>
      <c r="B101" s="4" t="str">
        <f>IFERROR(__xludf.DUMMYFUNCTION("""COMPUTED_VALUE"""),"C")</f>
        <v>C</v>
      </c>
      <c r="C101" s="4" t="str">
        <f>IFERROR(__xludf.DUMMYFUNCTION("""COMPUTED_VALUE"""),"N")</f>
        <v>N</v>
      </c>
      <c r="D101" s="4" t="str">
        <f t="shared" si="1"/>
        <v>CN</v>
      </c>
      <c r="E101" s="4" t="str">
        <f t="shared" si="2"/>
        <v>Dead Stock Candidate</v>
      </c>
    </row>
  </sheetData>
  <conditionalFormatting sqref="D2:D101">
    <cfRule type="colorScale" priority="1">
      <colorScale>
        <cfvo type="formula" val="0"/>
        <cfvo type="max"/>
        <color rgb="FFFFFFFF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5" max="5" width="46.29"/>
    <col customWidth="1" min="11" max="11" width="46.29"/>
  </cols>
  <sheetData>
    <row r="1">
      <c r="A1" s="1" t="s">
        <v>0</v>
      </c>
      <c r="B1" s="2" t="s">
        <v>295</v>
      </c>
      <c r="C1" s="2" t="s">
        <v>296</v>
      </c>
      <c r="D1" s="2" t="s">
        <v>297</v>
      </c>
      <c r="E1" s="2" t="s">
        <v>274</v>
      </c>
    </row>
    <row r="2">
      <c r="A2" s="1" t="s">
        <v>27</v>
      </c>
      <c r="B2" s="4" t="str">
        <f t="array" ref="B2">XLOOKUP(A2,Inventory_Data!A:A,Inventory_Data!V:V)</f>
        <v>A</v>
      </c>
      <c r="C2" s="4" t="str">
        <f t="array" ref="C2">XLOOKUP(A2,Inventory_Data!A:A,Inventory_Data!Z:Z)</f>
        <v>Y</v>
      </c>
      <c r="D2" s="4" t="str">
        <f t="shared" ref="D2:D101" si="1">B2&amp;C2</f>
        <v>AY</v>
      </c>
      <c r="E2" s="4" t="str">
        <f t="shared" ref="E2:E101" si="2">XLOOKUP(D2,$J$8:$J$17,$K$8:$K$17)</f>
        <v>High value, moderate variability, monitor closely</v>
      </c>
    </row>
    <row r="3">
      <c r="A3" s="1" t="s">
        <v>30</v>
      </c>
      <c r="B3" s="4" t="str">
        <f t="array" ref="B3">XLOOKUP(A3,Inventory_Data!A:A,Inventory_Data!V:V)</f>
        <v>A</v>
      </c>
      <c r="C3" s="4" t="str">
        <f t="array" ref="C3">XLOOKUP(A3,Inventory_Data!A:A,Inventory_Data!Z:Z)</f>
        <v>Y</v>
      </c>
      <c r="D3" s="4" t="str">
        <f t="shared" si="1"/>
        <v>AY</v>
      </c>
      <c r="E3" s="4" t="str">
        <f t="shared" si="2"/>
        <v>High value, moderate variability, monitor closely</v>
      </c>
    </row>
    <row r="4">
      <c r="A4" s="1" t="s">
        <v>33</v>
      </c>
      <c r="B4" s="4" t="str">
        <f t="array" ref="B4">XLOOKUP(A4,Inventory_Data!A:A,Inventory_Data!V:V)</f>
        <v>A</v>
      </c>
      <c r="C4" s="4" t="str">
        <f t="array" ref="C4">XLOOKUP(A4,Inventory_Data!A:A,Inventory_Data!Z:Z)</f>
        <v>Y</v>
      </c>
      <c r="D4" s="4" t="str">
        <f t="shared" si="1"/>
        <v>AY</v>
      </c>
      <c r="E4" s="4" t="str">
        <f t="shared" si="2"/>
        <v>High value, moderate variability, monitor closely</v>
      </c>
    </row>
    <row r="5">
      <c r="A5" s="1" t="s">
        <v>36</v>
      </c>
      <c r="B5" s="4" t="str">
        <f t="array" ref="B5">XLOOKUP(A5,Inventory_Data!A:A,Inventory_Data!V:V)</f>
        <v>A</v>
      </c>
      <c r="C5" s="4" t="str">
        <f t="array" ref="C5">XLOOKUP(A5,Inventory_Data!A:A,Inventory_Data!Z:Z)</f>
        <v>Y</v>
      </c>
      <c r="D5" s="4" t="str">
        <f t="shared" si="1"/>
        <v>AY</v>
      </c>
      <c r="E5" s="4" t="str">
        <f t="shared" si="2"/>
        <v>High value, moderate variability, monitor closely</v>
      </c>
    </row>
    <row r="6">
      <c r="A6" s="1" t="s">
        <v>39</v>
      </c>
      <c r="B6" s="4" t="str">
        <f t="array" ref="B6">XLOOKUP(A6,Inventory_Data!A:A,Inventory_Data!V:V)</f>
        <v>A</v>
      </c>
      <c r="C6" s="4" t="str">
        <f t="array" ref="C6">XLOOKUP(A6,Inventory_Data!A:A,Inventory_Data!Z:Z)</f>
        <v>Y</v>
      </c>
      <c r="D6" s="4" t="str">
        <f t="shared" si="1"/>
        <v>AY</v>
      </c>
      <c r="E6" s="4" t="str">
        <f t="shared" si="2"/>
        <v>High value, moderate variability, monitor closely</v>
      </c>
    </row>
    <row r="7">
      <c r="A7" s="1" t="s">
        <v>42</v>
      </c>
      <c r="B7" s="4" t="str">
        <f t="array" ref="B7">XLOOKUP(A7,Inventory_Data!A:A,Inventory_Data!V:V)</f>
        <v>A</v>
      </c>
      <c r="C7" s="4" t="str">
        <f t="array" ref="C7">XLOOKUP(A7,Inventory_Data!A:A,Inventory_Data!Z:Z)</f>
        <v>Y</v>
      </c>
      <c r="D7" s="4" t="str">
        <f t="shared" si="1"/>
        <v>AY</v>
      </c>
      <c r="E7" s="4" t="str">
        <f t="shared" si="2"/>
        <v>High value, moderate variability, monitor closely</v>
      </c>
    </row>
    <row r="8">
      <c r="A8" s="1" t="s">
        <v>45</v>
      </c>
      <c r="B8" s="4" t="str">
        <f t="array" ref="B8">XLOOKUP(A8,Inventory_Data!A:A,Inventory_Data!V:V)</f>
        <v>A</v>
      </c>
      <c r="C8" s="4" t="str">
        <f t="array" ref="C8">XLOOKUP(A8,Inventory_Data!A:A,Inventory_Data!Z:Z)</f>
        <v>Y</v>
      </c>
      <c r="D8" s="4" t="str">
        <f t="shared" si="1"/>
        <v>AY</v>
      </c>
      <c r="E8" s="4" t="str">
        <f t="shared" si="2"/>
        <v>High value, moderate variability, monitor closely</v>
      </c>
      <c r="J8" s="7" t="s">
        <v>275</v>
      </c>
      <c r="K8" s="7" t="s">
        <v>298</v>
      </c>
    </row>
    <row r="9">
      <c r="A9" s="1" t="s">
        <v>48</v>
      </c>
      <c r="B9" s="4" t="str">
        <f t="array" ref="B9">XLOOKUP(A9,Inventory_Data!A:A,Inventory_Data!V:V)</f>
        <v>A</v>
      </c>
      <c r="C9" s="4" t="str">
        <f t="array" ref="C9">XLOOKUP(A9,Inventory_Data!A:A,Inventory_Data!Z:Z)</f>
        <v>Z</v>
      </c>
      <c r="D9" s="4" t="str">
        <f t="shared" si="1"/>
        <v>AZ</v>
      </c>
      <c r="E9" s="4" t="str">
        <f t="shared" si="2"/>
        <v>High value, unpredictable demand, high planning risk</v>
      </c>
      <c r="J9" s="2" t="s">
        <v>299</v>
      </c>
      <c r="K9" s="2" t="s">
        <v>300</v>
      </c>
    </row>
    <row r="10">
      <c r="A10" s="1" t="s">
        <v>51</v>
      </c>
      <c r="B10" s="4" t="str">
        <f t="array" ref="B10">XLOOKUP(A10,Inventory_Data!A:A,Inventory_Data!V:V)</f>
        <v>A</v>
      </c>
      <c r="C10" s="4" t="str">
        <f t="array" ref="C10">XLOOKUP(A10,Inventory_Data!A:A,Inventory_Data!Z:Z)</f>
        <v>Z</v>
      </c>
      <c r="D10" s="4" t="str">
        <f t="shared" si="1"/>
        <v>AZ</v>
      </c>
      <c r="E10" s="4" t="str">
        <f t="shared" si="2"/>
        <v>High value, unpredictable demand, high planning risk</v>
      </c>
      <c r="J10" s="2" t="s">
        <v>301</v>
      </c>
      <c r="K10" s="2" t="s">
        <v>302</v>
      </c>
    </row>
    <row r="11">
      <c r="A11" s="1" t="s">
        <v>54</v>
      </c>
      <c r="B11" s="4" t="str">
        <f t="array" ref="B11">XLOOKUP(A11,Inventory_Data!A:A,Inventory_Data!V:V)</f>
        <v>A</v>
      </c>
      <c r="C11" s="4" t="str">
        <f t="array" ref="C11">XLOOKUP(A11,Inventory_Data!A:A,Inventory_Data!Z:Z)</f>
        <v>Z</v>
      </c>
      <c r="D11" s="4" t="str">
        <f t="shared" si="1"/>
        <v>AZ</v>
      </c>
      <c r="E11" s="4" t="str">
        <f t="shared" si="2"/>
        <v>High value, unpredictable demand, high planning risk</v>
      </c>
      <c r="J11" s="2" t="s">
        <v>303</v>
      </c>
      <c r="K11" s="2" t="s">
        <v>304</v>
      </c>
    </row>
    <row r="12">
      <c r="A12" s="1" t="s">
        <v>57</v>
      </c>
      <c r="B12" s="4" t="str">
        <f t="array" ref="B12">XLOOKUP(A12,Inventory_Data!A:A,Inventory_Data!V:V)</f>
        <v>A</v>
      </c>
      <c r="C12" s="4" t="str">
        <f t="array" ref="C12">XLOOKUP(A12,Inventory_Data!A:A,Inventory_Data!Z:Z)</f>
        <v>Y</v>
      </c>
      <c r="D12" s="4" t="str">
        <f t="shared" si="1"/>
        <v>AY</v>
      </c>
      <c r="E12" s="4" t="str">
        <f t="shared" si="2"/>
        <v>High value, moderate variability, monitor closely</v>
      </c>
      <c r="J12" s="2" t="s">
        <v>305</v>
      </c>
      <c r="K12" s="2" t="s">
        <v>306</v>
      </c>
    </row>
    <row r="13">
      <c r="A13" s="1" t="s">
        <v>59</v>
      </c>
      <c r="B13" s="4" t="str">
        <f t="array" ref="B13">XLOOKUP(A13,Inventory_Data!A:A,Inventory_Data!V:V)</f>
        <v>A</v>
      </c>
      <c r="C13" s="4" t="str">
        <f t="array" ref="C13">XLOOKUP(A13,Inventory_Data!A:A,Inventory_Data!Z:Z)</f>
        <v>Z</v>
      </c>
      <c r="D13" s="4" t="str">
        <f t="shared" si="1"/>
        <v>AZ</v>
      </c>
      <c r="E13" s="4" t="str">
        <f t="shared" si="2"/>
        <v>High value, unpredictable demand, high planning risk</v>
      </c>
      <c r="J13" s="2" t="s">
        <v>307</v>
      </c>
      <c r="K13" s="2" t="s">
        <v>308</v>
      </c>
    </row>
    <row r="14">
      <c r="A14" s="1" t="s">
        <v>62</v>
      </c>
      <c r="B14" s="4" t="str">
        <f t="array" ref="B14">XLOOKUP(A14,Inventory_Data!A:A,Inventory_Data!V:V)</f>
        <v>A</v>
      </c>
      <c r="C14" s="4" t="str">
        <f t="array" ref="C14">XLOOKUP(A14,Inventory_Data!A:A,Inventory_Data!Z:Z)</f>
        <v>Z</v>
      </c>
      <c r="D14" s="4" t="str">
        <f t="shared" si="1"/>
        <v>AZ</v>
      </c>
      <c r="E14" s="4" t="str">
        <f t="shared" si="2"/>
        <v>High value, unpredictable demand, high planning risk</v>
      </c>
      <c r="J14" s="2" t="s">
        <v>309</v>
      </c>
      <c r="K14" s="2" t="s">
        <v>310</v>
      </c>
    </row>
    <row r="15">
      <c r="A15" s="1" t="s">
        <v>65</v>
      </c>
      <c r="B15" s="4" t="str">
        <f t="array" ref="B15">XLOOKUP(A15,Inventory_Data!A:A,Inventory_Data!V:V)</f>
        <v>A</v>
      </c>
      <c r="C15" s="4" t="str">
        <f t="array" ref="C15">XLOOKUP(A15,Inventory_Data!A:A,Inventory_Data!Z:Z)</f>
        <v>Z</v>
      </c>
      <c r="D15" s="4" t="str">
        <f t="shared" si="1"/>
        <v>AZ</v>
      </c>
      <c r="E15" s="4" t="str">
        <f t="shared" si="2"/>
        <v>High value, unpredictable demand, high planning risk</v>
      </c>
      <c r="J15" s="2" t="s">
        <v>311</v>
      </c>
      <c r="K15" s="2" t="s">
        <v>312</v>
      </c>
    </row>
    <row r="16">
      <c r="A16" s="1" t="s">
        <v>68</v>
      </c>
      <c r="B16" s="4" t="str">
        <f t="array" ref="B16">XLOOKUP(A16,Inventory_Data!A:A,Inventory_Data!V:V)</f>
        <v>A</v>
      </c>
      <c r="C16" s="4" t="str">
        <f t="array" ref="C16">XLOOKUP(A16,Inventory_Data!A:A,Inventory_Data!Z:Z)</f>
        <v>Y</v>
      </c>
      <c r="D16" s="4" t="str">
        <f t="shared" si="1"/>
        <v>AY</v>
      </c>
      <c r="E16" s="4" t="str">
        <f t="shared" si="2"/>
        <v>High value, moderate variability, monitor closely</v>
      </c>
      <c r="J16" s="2" t="s">
        <v>313</v>
      </c>
      <c r="K16" s="2" t="s">
        <v>314</v>
      </c>
    </row>
    <row r="17">
      <c r="A17" s="1" t="s">
        <v>71</v>
      </c>
      <c r="B17" s="4" t="str">
        <f t="array" ref="B17">XLOOKUP(A17,Inventory_Data!A:A,Inventory_Data!V:V)</f>
        <v>A</v>
      </c>
      <c r="C17" s="4" t="str">
        <f t="array" ref="C17">XLOOKUP(A17,Inventory_Data!A:A,Inventory_Data!Z:Z)</f>
        <v>Z</v>
      </c>
      <c r="D17" s="4" t="str">
        <f t="shared" si="1"/>
        <v>AZ</v>
      </c>
      <c r="E17" s="4" t="str">
        <f t="shared" si="2"/>
        <v>High value, unpredictable demand, high planning risk</v>
      </c>
      <c r="J17" s="2" t="s">
        <v>315</v>
      </c>
      <c r="K17" s="2" t="s">
        <v>316</v>
      </c>
    </row>
    <row r="18">
      <c r="A18" s="1" t="s">
        <v>74</v>
      </c>
      <c r="B18" s="4" t="str">
        <f t="array" ref="B18">XLOOKUP(A18,Inventory_Data!A:A,Inventory_Data!V:V)</f>
        <v>A</v>
      </c>
      <c r="C18" s="4" t="str">
        <f t="array" ref="C18">XLOOKUP(A18,Inventory_Data!A:A,Inventory_Data!Z:Z)</f>
        <v>Z</v>
      </c>
      <c r="D18" s="4" t="str">
        <f t="shared" si="1"/>
        <v>AZ</v>
      </c>
      <c r="E18" s="4" t="str">
        <f t="shared" si="2"/>
        <v>High value, unpredictable demand, high planning risk</v>
      </c>
    </row>
    <row r="19">
      <c r="A19" s="1" t="s">
        <v>76</v>
      </c>
      <c r="B19" s="4" t="str">
        <f t="array" ref="B19">XLOOKUP(A19,Inventory_Data!A:A,Inventory_Data!V:V)</f>
        <v>A</v>
      </c>
      <c r="C19" s="4" t="str">
        <f t="array" ref="C19">XLOOKUP(A19,Inventory_Data!A:A,Inventory_Data!Z:Z)</f>
        <v>Z</v>
      </c>
      <c r="D19" s="4" t="str">
        <f t="shared" si="1"/>
        <v>AZ</v>
      </c>
      <c r="E19" s="4" t="str">
        <f t="shared" si="2"/>
        <v>High value, unpredictable demand, high planning risk</v>
      </c>
    </row>
    <row r="20">
      <c r="A20" s="1" t="s">
        <v>78</v>
      </c>
      <c r="B20" s="4" t="str">
        <f t="array" ref="B20">XLOOKUP(A20,Inventory_Data!A:A,Inventory_Data!V:V)</f>
        <v>A</v>
      </c>
      <c r="C20" s="4" t="str">
        <f t="array" ref="C20">XLOOKUP(A20,Inventory_Data!A:A,Inventory_Data!Z:Z)</f>
        <v>Y</v>
      </c>
      <c r="D20" s="4" t="str">
        <f t="shared" si="1"/>
        <v>AY</v>
      </c>
      <c r="E20" s="4" t="str">
        <f t="shared" si="2"/>
        <v>High value, moderate variability, monitor closely</v>
      </c>
    </row>
    <row r="21">
      <c r="A21" s="1" t="s">
        <v>80</v>
      </c>
      <c r="B21" s="4" t="str">
        <f t="array" ref="B21">XLOOKUP(A21,Inventory_Data!A:A,Inventory_Data!V:V)</f>
        <v>A</v>
      </c>
      <c r="C21" s="4" t="str">
        <f t="array" ref="C21">XLOOKUP(A21,Inventory_Data!A:A,Inventory_Data!Z:Z)</f>
        <v>Z</v>
      </c>
      <c r="D21" s="4" t="str">
        <f t="shared" si="1"/>
        <v>AZ</v>
      </c>
      <c r="E21" s="4" t="str">
        <f t="shared" si="2"/>
        <v>High value, unpredictable demand, high planning risk</v>
      </c>
    </row>
    <row r="22">
      <c r="A22" s="1" t="s">
        <v>82</v>
      </c>
      <c r="B22" s="4" t="str">
        <f t="array" ref="B22">XLOOKUP(A22,Inventory_Data!A:A,Inventory_Data!V:V)</f>
        <v>A</v>
      </c>
      <c r="C22" s="4" t="str">
        <f t="array" ref="C22">XLOOKUP(A22,Inventory_Data!A:A,Inventory_Data!Z:Z)</f>
        <v>Z</v>
      </c>
      <c r="D22" s="4" t="str">
        <f t="shared" si="1"/>
        <v>AZ</v>
      </c>
      <c r="E22" s="4" t="str">
        <f t="shared" si="2"/>
        <v>High value, unpredictable demand, high planning risk</v>
      </c>
    </row>
    <row r="23">
      <c r="A23" s="1" t="s">
        <v>84</v>
      </c>
      <c r="B23" s="4" t="str">
        <f t="array" ref="B23">XLOOKUP(A23,Inventory_Data!A:A,Inventory_Data!V:V)</f>
        <v>A</v>
      </c>
      <c r="C23" s="4" t="str">
        <f t="array" ref="C23">XLOOKUP(A23,Inventory_Data!A:A,Inventory_Data!Z:Z)</f>
        <v>Z</v>
      </c>
      <c r="D23" s="4" t="str">
        <f t="shared" si="1"/>
        <v>AZ</v>
      </c>
      <c r="E23" s="4" t="str">
        <f t="shared" si="2"/>
        <v>High value, unpredictable demand, high planning risk</v>
      </c>
    </row>
    <row r="24">
      <c r="A24" s="1" t="s">
        <v>87</v>
      </c>
      <c r="B24" s="4" t="str">
        <f t="array" ref="B24">XLOOKUP(A24,Inventory_Data!A:A,Inventory_Data!V:V)</f>
        <v>A</v>
      </c>
      <c r="C24" s="4" t="str">
        <f t="array" ref="C24">XLOOKUP(A24,Inventory_Data!A:A,Inventory_Data!Z:Z)</f>
        <v>Z</v>
      </c>
      <c r="D24" s="4" t="str">
        <f t="shared" si="1"/>
        <v>AZ</v>
      </c>
      <c r="E24" s="4" t="str">
        <f t="shared" si="2"/>
        <v>High value, unpredictable demand, high planning risk</v>
      </c>
    </row>
    <row r="25">
      <c r="A25" s="1" t="s">
        <v>89</v>
      </c>
      <c r="B25" s="4" t="str">
        <f t="array" ref="B25">XLOOKUP(A25,Inventory_Data!A:A,Inventory_Data!V:V)</f>
        <v>A</v>
      </c>
      <c r="C25" s="4" t="str">
        <f t="array" ref="C25">XLOOKUP(A25,Inventory_Data!A:A,Inventory_Data!Z:Z)</f>
        <v>Z</v>
      </c>
      <c r="D25" s="4" t="str">
        <f t="shared" si="1"/>
        <v>AZ</v>
      </c>
      <c r="E25" s="4" t="str">
        <f t="shared" si="2"/>
        <v>High value, unpredictable demand, high planning risk</v>
      </c>
    </row>
    <row r="26">
      <c r="A26" s="1" t="s">
        <v>92</v>
      </c>
      <c r="B26" s="4" t="str">
        <f t="array" ref="B26">XLOOKUP(A26,Inventory_Data!A:A,Inventory_Data!V:V)</f>
        <v>A</v>
      </c>
      <c r="C26" s="4" t="str">
        <f t="array" ref="C26">XLOOKUP(A26,Inventory_Data!A:A,Inventory_Data!Z:Z)</f>
        <v>Z</v>
      </c>
      <c r="D26" s="4" t="str">
        <f t="shared" si="1"/>
        <v>AZ</v>
      </c>
      <c r="E26" s="4" t="str">
        <f t="shared" si="2"/>
        <v>High value, unpredictable demand, high planning risk</v>
      </c>
    </row>
    <row r="27">
      <c r="A27" s="1" t="s">
        <v>95</v>
      </c>
      <c r="B27" s="4" t="str">
        <f t="array" ref="B27">XLOOKUP(A27,Inventory_Data!A:A,Inventory_Data!V:V)</f>
        <v>A</v>
      </c>
      <c r="C27" s="4" t="str">
        <f t="array" ref="C27">XLOOKUP(A27,Inventory_Data!A:A,Inventory_Data!Z:Z)</f>
        <v>Y</v>
      </c>
      <c r="D27" s="4" t="str">
        <f t="shared" si="1"/>
        <v>AY</v>
      </c>
      <c r="E27" s="4" t="str">
        <f t="shared" si="2"/>
        <v>High value, moderate variability, monitor closely</v>
      </c>
    </row>
    <row r="28">
      <c r="A28" s="1" t="s">
        <v>98</v>
      </c>
      <c r="B28" s="4" t="str">
        <f t="array" ref="B28">XLOOKUP(A28,Inventory_Data!A:A,Inventory_Data!V:V)</f>
        <v>A</v>
      </c>
      <c r="C28" s="4" t="str">
        <f t="array" ref="C28">XLOOKUP(A28,Inventory_Data!A:A,Inventory_Data!Z:Z)</f>
        <v>Y</v>
      </c>
      <c r="D28" s="4" t="str">
        <f t="shared" si="1"/>
        <v>AY</v>
      </c>
      <c r="E28" s="4" t="str">
        <f t="shared" si="2"/>
        <v>High value, moderate variability, monitor closely</v>
      </c>
    </row>
    <row r="29">
      <c r="A29" s="1" t="s">
        <v>101</v>
      </c>
      <c r="B29" s="4" t="str">
        <f t="array" ref="B29">XLOOKUP(A29,Inventory_Data!A:A,Inventory_Data!V:V)</f>
        <v>A</v>
      </c>
      <c r="C29" s="4" t="str">
        <f t="array" ref="C29">XLOOKUP(A29,Inventory_Data!A:A,Inventory_Data!Z:Z)</f>
        <v>Z</v>
      </c>
      <c r="D29" s="4" t="str">
        <f t="shared" si="1"/>
        <v>AZ</v>
      </c>
      <c r="E29" s="4" t="str">
        <f t="shared" si="2"/>
        <v>High value, unpredictable demand, high planning risk</v>
      </c>
    </row>
    <row r="30">
      <c r="A30" s="1" t="s">
        <v>104</v>
      </c>
      <c r="B30" s="4" t="str">
        <f t="array" ref="B30">XLOOKUP(A30,Inventory_Data!A:A,Inventory_Data!V:V)</f>
        <v>A</v>
      </c>
      <c r="C30" s="4" t="str">
        <f t="array" ref="C30">XLOOKUP(A30,Inventory_Data!A:A,Inventory_Data!Z:Z)</f>
        <v>Z</v>
      </c>
      <c r="D30" s="4" t="str">
        <f t="shared" si="1"/>
        <v>AZ</v>
      </c>
      <c r="E30" s="4" t="str">
        <f t="shared" si="2"/>
        <v>High value, unpredictable demand, high planning risk</v>
      </c>
    </row>
    <row r="31">
      <c r="A31" s="1" t="s">
        <v>107</v>
      </c>
      <c r="B31" s="4" t="str">
        <f t="array" ref="B31">XLOOKUP(A31,Inventory_Data!A:A,Inventory_Data!V:V)</f>
        <v>A</v>
      </c>
      <c r="C31" s="4" t="str">
        <f t="array" ref="C31">XLOOKUP(A31,Inventory_Data!A:A,Inventory_Data!Z:Z)</f>
        <v>Y</v>
      </c>
      <c r="D31" s="4" t="str">
        <f t="shared" si="1"/>
        <v>AY</v>
      </c>
      <c r="E31" s="4" t="str">
        <f t="shared" si="2"/>
        <v>High value, moderate variability, monitor closely</v>
      </c>
    </row>
    <row r="32">
      <c r="A32" s="1" t="s">
        <v>110</v>
      </c>
      <c r="B32" s="4" t="str">
        <f t="array" ref="B32">XLOOKUP(A32,Inventory_Data!A:A,Inventory_Data!V:V)</f>
        <v>A</v>
      </c>
      <c r="C32" s="4" t="str">
        <f t="array" ref="C32">XLOOKUP(A32,Inventory_Data!A:A,Inventory_Data!Z:Z)</f>
        <v>Z</v>
      </c>
      <c r="D32" s="4" t="str">
        <f t="shared" si="1"/>
        <v>AZ</v>
      </c>
      <c r="E32" s="4" t="str">
        <f t="shared" si="2"/>
        <v>High value, unpredictable demand, high planning risk</v>
      </c>
    </row>
    <row r="33">
      <c r="A33" s="1" t="s">
        <v>113</v>
      </c>
      <c r="B33" s="4" t="str">
        <f t="array" ref="B33">XLOOKUP(A33,Inventory_Data!A:A,Inventory_Data!V:V)</f>
        <v>A</v>
      </c>
      <c r="C33" s="4" t="str">
        <f t="array" ref="C33">XLOOKUP(A33,Inventory_Data!A:A,Inventory_Data!Z:Z)</f>
        <v>Z</v>
      </c>
      <c r="D33" s="4" t="str">
        <f t="shared" si="1"/>
        <v>AZ</v>
      </c>
      <c r="E33" s="4" t="str">
        <f t="shared" si="2"/>
        <v>High value, unpredictable demand, high planning risk</v>
      </c>
    </row>
    <row r="34">
      <c r="A34" s="1" t="s">
        <v>115</v>
      </c>
      <c r="B34" s="4" t="str">
        <f t="array" ref="B34">XLOOKUP(A34,Inventory_Data!A:A,Inventory_Data!V:V)</f>
        <v>A</v>
      </c>
      <c r="C34" s="4" t="str">
        <f t="array" ref="C34">XLOOKUP(A34,Inventory_Data!A:A,Inventory_Data!Z:Z)</f>
        <v>Z</v>
      </c>
      <c r="D34" s="4" t="str">
        <f t="shared" si="1"/>
        <v>AZ</v>
      </c>
      <c r="E34" s="4" t="str">
        <f t="shared" si="2"/>
        <v>High value, unpredictable demand, high planning risk</v>
      </c>
    </row>
    <row r="35">
      <c r="A35" s="1" t="s">
        <v>117</v>
      </c>
      <c r="B35" s="4" t="str">
        <f t="array" ref="B35">XLOOKUP(A35,Inventory_Data!A:A,Inventory_Data!V:V)</f>
        <v>A</v>
      </c>
      <c r="C35" s="4" t="str">
        <f t="array" ref="C35">XLOOKUP(A35,Inventory_Data!A:A,Inventory_Data!Z:Z)</f>
        <v>Z</v>
      </c>
      <c r="D35" s="4" t="str">
        <f t="shared" si="1"/>
        <v>AZ</v>
      </c>
      <c r="E35" s="4" t="str">
        <f t="shared" si="2"/>
        <v>High value, unpredictable demand, high planning risk</v>
      </c>
    </row>
    <row r="36">
      <c r="A36" s="1" t="s">
        <v>119</v>
      </c>
      <c r="B36" s="4" t="str">
        <f t="array" ref="B36">XLOOKUP(A36,Inventory_Data!A:A,Inventory_Data!V:V)</f>
        <v>A</v>
      </c>
      <c r="C36" s="4" t="str">
        <f t="array" ref="C36">XLOOKUP(A36,Inventory_Data!A:A,Inventory_Data!Z:Z)</f>
        <v>Y</v>
      </c>
      <c r="D36" s="4" t="str">
        <f t="shared" si="1"/>
        <v>AY</v>
      </c>
      <c r="E36" s="4" t="str">
        <f t="shared" si="2"/>
        <v>High value, moderate variability, monitor closely</v>
      </c>
    </row>
    <row r="37">
      <c r="A37" s="1" t="s">
        <v>122</v>
      </c>
      <c r="B37" s="4" t="str">
        <f t="array" ref="B37">XLOOKUP(A37,Inventory_Data!A:A,Inventory_Data!V:V)</f>
        <v>A</v>
      </c>
      <c r="C37" s="4" t="str">
        <f t="array" ref="C37">XLOOKUP(A37,Inventory_Data!A:A,Inventory_Data!Z:Z)</f>
        <v>Z</v>
      </c>
      <c r="D37" s="4" t="str">
        <f t="shared" si="1"/>
        <v>AZ</v>
      </c>
      <c r="E37" s="4" t="str">
        <f t="shared" si="2"/>
        <v>High value, unpredictable demand, high planning risk</v>
      </c>
    </row>
    <row r="38">
      <c r="A38" s="1" t="s">
        <v>125</v>
      </c>
      <c r="B38" s="4" t="str">
        <f t="array" ref="B38">XLOOKUP(A38,Inventory_Data!A:A,Inventory_Data!V:V)</f>
        <v>A</v>
      </c>
      <c r="C38" s="4" t="str">
        <f t="array" ref="C38">XLOOKUP(A38,Inventory_Data!A:A,Inventory_Data!Z:Z)</f>
        <v>Z</v>
      </c>
      <c r="D38" s="4" t="str">
        <f t="shared" si="1"/>
        <v>AZ</v>
      </c>
      <c r="E38" s="4" t="str">
        <f t="shared" si="2"/>
        <v>High value, unpredictable demand, high planning risk</v>
      </c>
    </row>
    <row r="39">
      <c r="A39" s="1" t="s">
        <v>127</v>
      </c>
      <c r="B39" s="4" t="str">
        <f t="array" ref="B39">XLOOKUP(A39,Inventory_Data!A:A,Inventory_Data!V:V)</f>
        <v>A</v>
      </c>
      <c r="C39" s="4" t="str">
        <f t="array" ref="C39">XLOOKUP(A39,Inventory_Data!A:A,Inventory_Data!Z:Z)</f>
        <v>Z</v>
      </c>
      <c r="D39" s="4" t="str">
        <f t="shared" si="1"/>
        <v>AZ</v>
      </c>
      <c r="E39" s="4" t="str">
        <f t="shared" si="2"/>
        <v>High value, unpredictable demand, high planning risk</v>
      </c>
    </row>
    <row r="40">
      <c r="A40" s="1" t="s">
        <v>130</v>
      </c>
      <c r="B40" s="4" t="str">
        <f t="array" ref="B40">XLOOKUP(A40,Inventory_Data!A:A,Inventory_Data!V:V)</f>
        <v>A</v>
      </c>
      <c r="C40" s="4" t="str">
        <f t="array" ref="C40">XLOOKUP(A40,Inventory_Data!A:A,Inventory_Data!Z:Z)</f>
        <v>Z</v>
      </c>
      <c r="D40" s="4" t="str">
        <f t="shared" si="1"/>
        <v>AZ</v>
      </c>
      <c r="E40" s="4" t="str">
        <f t="shared" si="2"/>
        <v>High value, unpredictable demand, high planning risk</v>
      </c>
    </row>
    <row r="41">
      <c r="A41" s="1" t="s">
        <v>133</v>
      </c>
      <c r="B41" s="4" t="str">
        <f t="array" ref="B41">XLOOKUP(A41,Inventory_Data!A:A,Inventory_Data!V:V)</f>
        <v>A</v>
      </c>
      <c r="C41" s="4" t="str">
        <f t="array" ref="C41">XLOOKUP(A41,Inventory_Data!A:A,Inventory_Data!Z:Z)</f>
        <v>Z</v>
      </c>
      <c r="D41" s="4" t="str">
        <f t="shared" si="1"/>
        <v>AZ</v>
      </c>
      <c r="E41" s="4" t="str">
        <f t="shared" si="2"/>
        <v>High value, unpredictable demand, high planning risk</v>
      </c>
    </row>
    <row r="42">
      <c r="A42" s="1" t="s">
        <v>135</v>
      </c>
      <c r="B42" s="4" t="str">
        <f t="array" ref="B42">XLOOKUP(A42,Inventory_Data!A:A,Inventory_Data!V:V)</f>
        <v>A</v>
      </c>
      <c r="C42" s="4" t="str">
        <f t="array" ref="C42">XLOOKUP(A42,Inventory_Data!A:A,Inventory_Data!Z:Z)</f>
        <v>Z</v>
      </c>
      <c r="D42" s="4" t="str">
        <f t="shared" si="1"/>
        <v>AZ</v>
      </c>
      <c r="E42" s="4" t="str">
        <f t="shared" si="2"/>
        <v>High value, unpredictable demand, high planning risk</v>
      </c>
    </row>
    <row r="43">
      <c r="A43" s="1" t="s">
        <v>137</v>
      </c>
      <c r="B43" s="4" t="str">
        <f t="array" ref="B43">XLOOKUP(A43,Inventory_Data!A:A,Inventory_Data!V:V)</f>
        <v>A</v>
      </c>
      <c r="C43" s="4" t="str">
        <f t="array" ref="C43">XLOOKUP(A43,Inventory_Data!A:A,Inventory_Data!Z:Z)</f>
        <v>Z</v>
      </c>
      <c r="D43" s="4" t="str">
        <f t="shared" si="1"/>
        <v>AZ</v>
      </c>
      <c r="E43" s="4" t="str">
        <f t="shared" si="2"/>
        <v>High value, unpredictable demand, high planning risk</v>
      </c>
    </row>
    <row r="44">
      <c r="A44" s="1" t="s">
        <v>139</v>
      </c>
      <c r="B44" s="4" t="str">
        <f t="array" ref="B44">XLOOKUP(A44,Inventory_Data!A:A,Inventory_Data!V:V)</f>
        <v>A</v>
      </c>
      <c r="C44" s="4" t="str">
        <f t="array" ref="C44">XLOOKUP(A44,Inventory_Data!A:A,Inventory_Data!Z:Z)</f>
        <v>Z</v>
      </c>
      <c r="D44" s="4" t="str">
        <f t="shared" si="1"/>
        <v>AZ</v>
      </c>
      <c r="E44" s="4" t="str">
        <f t="shared" si="2"/>
        <v>High value, unpredictable demand, high planning risk</v>
      </c>
    </row>
    <row r="45">
      <c r="A45" s="1" t="s">
        <v>141</v>
      </c>
      <c r="B45" s="4" t="str">
        <f t="array" ref="B45">XLOOKUP(A45,Inventory_Data!A:A,Inventory_Data!V:V)</f>
        <v>A</v>
      </c>
      <c r="C45" s="4" t="str">
        <f t="array" ref="C45">XLOOKUP(A45,Inventory_Data!A:A,Inventory_Data!Z:Z)</f>
        <v>Y</v>
      </c>
      <c r="D45" s="4" t="str">
        <f t="shared" si="1"/>
        <v>AY</v>
      </c>
      <c r="E45" s="4" t="str">
        <f t="shared" si="2"/>
        <v>High value, moderate variability, monitor closely</v>
      </c>
    </row>
    <row r="46">
      <c r="A46" s="1" t="s">
        <v>143</v>
      </c>
      <c r="B46" s="4" t="str">
        <f t="array" ref="B46">XLOOKUP(A46,Inventory_Data!A:A,Inventory_Data!V:V)</f>
        <v>A</v>
      </c>
      <c r="C46" s="4" t="str">
        <f t="array" ref="C46">XLOOKUP(A46,Inventory_Data!A:A,Inventory_Data!Z:Z)</f>
        <v>Z</v>
      </c>
      <c r="D46" s="4" t="str">
        <f t="shared" si="1"/>
        <v>AZ</v>
      </c>
      <c r="E46" s="4" t="str">
        <f t="shared" si="2"/>
        <v>High value, unpredictable demand, high planning risk</v>
      </c>
    </row>
    <row r="47">
      <c r="A47" s="1" t="s">
        <v>145</v>
      </c>
      <c r="B47" s="4" t="str">
        <f t="array" ref="B47">XLOOKUP(A47,Inventory_Data!A:A,Inventory_Data!V:V)</f>
        <v>A</v>
      </c>
      <c r="C47" s="4" t="str">
        <f t="array" ref="C47">XLOOKUP(A47,Inventory_Data!A:A,Inventory_Data!Z:Z)</f>
        <v>Z</v>
      </c>
      <c r="D47" s="4" t="str">
        <f t="shared" si="1"/>
        <v>AZ</v>
      </c>
      <c r="E47" s="4" t="str">
        <f t="shared" si="2"/>
        <v>High value, unpredictable demand, high planning risk</v>
      </c>
    </row>
    <row r="48">
      <c r="A48" s="1" t="s">
        <v>147</v>
      </c>
      <c r="B48" s="4" t="str">
        <f t="array" ref="B48">XLOOKUP(A48,Inventory_Data!A:A,Inventory_Data!V:V)</f>
        <v>A</v>
      </c>
      <c r="C48" s="4" t="str">
        <f t="array" ref="C48">XLOOKUP(A48,Inventory_Data!A:A,Inventory_Data!Z:Z)</f>
        <v>Z</v>
      </c>
      <c r="D48" s="4" t="str">
        <f t="shared" si="1"/>
        <v>AZ</v>
      </c>
      <c r="E48" s="4" t="str">
        <f t="shared" si="2"/>
        <v>High value, unpredictable demand, high planning risk</v>
      </c>
    </row>
    <row r="49">
      <c r="A49" s="1" t="s">
        <v>149</v>
      </c>
      <c r="B49" s="4" t="str">
        <f t="array" ref="B49">XLOOKUP(A49,Inventory_Data!A:A,Inventory_Data!V:V)</f>
        <v>A</v>
      </c>
      <c r="C49" s="4" t="str">
        <f t="array" ref="C49">XLOOKUP(A49,Inventory_Data!A:A,Inventory_Data!Z:Z)</f>
        <v>Z</v>
      </c>
      <c r="D49" s="4" t="str">
        <f t="shared" si="1"/>
        <v>AZ</v>
      </c>
      <c r="E49" s="4" t="str">
        <f t="shared" si="2"/>
        <v>High value, unpredictable demand, high planning risk</v>
      </c>
    </row>
    <row r="50">
      <c r="A50" s="1" t="s">
        <v>151</v>
      </c>
      <c r="B50" s="4" t="str">
        <f t="array" ref="B50">XLOOKUP(A50,Inventory_Data!A:A,Inventory_Data!V:V)</f>
        <v>A</v>
      </c>
      <c r="C50" s="4" t="str">
        <f t="array" ref="C50">XLOOKUP(A50,Inventory_Data!A:A,Inventory_Data!Z:Z)</f>
        <v>Z</v>
      </c>
      <c r="D50" s="4" t="str">
        <f t="shared" si="1"/>
        <v>AZ</v>
      </c>
      <c r="E50" s="4" t="str">
        <f t="shared" si="2"/>
        <v>High value, unpredictable demand, high planning risk</v>
      </c>
    </row>
    <row r="51">
      <c r="A51" s="1" t="s">
        <v>153</v>
      </c>
      <c r="B51" s="4" t="str">
        <f t="array" ref="B51">XLOOKUP(A51,Inventory_Data!A:A,Inventory_Data!V:V)</f>
        <v>A</v>
      </c>
      <c r="C51" s="4" t="str">
        <f t="array" ref="C51">XLOOKUP(A51,Inventory_Data!A:A,Inventory_Data!Z:Z)</f>
        <v>Y</v>
      </c>
      <c r="D51" s="4" t="str">
        <f t="shared" si="1"/>
        <v>AY</v>
      </c>
      <c r="E51" s="4" t="str">
        <f t="shared" si="2"/>
        <v>High value, moderate variability, monitor closely</v>
      </c>
    </row>
    <row r="52">
      <c r="A52" s="1" t="s">
        <v>155</v>
      </c>
      <c r="B52" s="4" t="str">
        <f t="array" ref="B52">XLOOKUP(A52,Inventory_Data!A:A,Inventory_Data!V:V)</f>
        <v>A</v>
      </c>
      <c r="C52" s="4" t="str">
        <f t="array" ref="C52">XLOOKUP(A52,Inventory_Data!A:A,Inventory_Data!Z:Z)</f>
        <v>Z</v>
      </c>
      <c r="D52" s="4" t="str">
        <f t="shared" si="1"/>
        <v>AZ</v>
      </c>
      <c r="E52" s="4" t="str">
        <f t="shared" si="2"/>
        <v>High value, unpredictable demand, high planning risk</v>
      </c>
    </row>
    <row r="53">
      <c r="A53" s="1" t="s">
        <v>157</v>
      </c>
      <c r="B53" s="4" t="str">
        <f t="array" ref="B53">XLOOKUP(A53,Inventory_Data!A:A,Inventory_Data!V:V)</f>
        <v>A</v>
      </c>
      <c r="C53" s="4" t="str">
        <f t="array" ref="C53">XLOOKUP(A53,Inventory_Data!A:A,Inventory_Data!Z:Z)</f>
        <v>Z</v>
      </c>
      <c r="D53" s="4" t="str">
        <f t="shared" si="1"/>
        <v>AZ</v>
      </c>
      <c r="E53" s="4" t="str">
        <f t="shared" si="2"/>
        <v>High value, unpredictable demand, high planning risk</v>
      </c>
    </row>
    <row r="54">
      <c r="A54" s="1" t="s">
        <v>160</v>
      </c>
      <c r="B54" s="4" t="str">
        <f t="array" ref="B54">XLOOKUP(A54,Inventory_Data!A:A,Inventory_Data!V:V)</f>
        <v>A</v>
      </c>
      <c r="C54" s="4" t="str">
        <f t="array" ref="C54">XLOOKUP(A54,Inventory_Data!A:A,Inventory_Data!Z:Z)</f>
        <v>Z</v>
      </c>
      <c r="D54" s="4" t="str">
        <f t="shared" si="1"/>
        <v>AZ</v>
      </c>
      <c r="E54" s="4" t="str">
        <f t="shared" si="2"/>
        <v>High value, unpredictable demand, high planning risk</v>
      </c>
    </row>
    <row r="55">
      <c r="A55" s="1" t="s">
        <v>162</v>
      </c>
      <c r="B55" s="4" t="str">
        <f t="array" ref="B55">XLOOKUP(A55,Inventory_Data!A:A,Inventory_Data!V:V)</f>
        <v>A</v>
      </c>
      <c r="C55" s="4" t="str">
        <f t="array" ref="C55">XLOOKUP(A55,Inventory_Data!A:A,Inventory_Data!Z:Z)</f>
        <v>Z</v>
      </c>
      <c r="D55" s="4" t="str">
        <f t="shared" si="1"/>
        <v>AZ</v>
      </c>
      <c r="E55" s="4" t="str">
        <f t="shared" si="2"/>
        <v>High value, unpredictable demand, high planning risk</v>
      </c>
    </row>
    <row r="56">
      <c r="A56" s="1" t="s">
        <v>164</v>
      </c>
      <c r="B56" s="4" t="str">
        <f t="array" ref="B56">XLOOKUP(A56,Inventory_Data!A:A,Inventory_Data!V:V)</f>
        <v>A</v>
      </c>
      <c r="C56" s="4" t="str">
        <f t="array" ref="C56">XLOOKUP(A56,Inventory_Data!A:A,Inventory_Data!Z:Z)</f>
        <v>Y</v>
      </c>
      <c r="D56" s="4" t="str">
        <f t="shared" si="1"/>
        <v>AY</v>
      </c>
      <c r="E56" s="4" t="str">
        <f t="shared" si="2"/>
        <v>High value, moderate variability, monitor closely</v>
      </c>
    </row>
    <row r="57">
      <c r="A57" s="1" t="s">
        <v>166</v>
      </c>
      <c r="B57" s="4" t="str">
        <f t="array" ref="B57">XLOOKUP(A57,Inventory_Data!A:A,Inventory_Data!V:V)</f>
        <v>B</v>
      </c>
      <c r="C57" s="4" t="str">
        <f t="array" ref="C57">XLOOKUP(A57,Inventory_Data!A:A,Inventory_Data!Z:Z)</f>
        <v>Z</v>
      </c>
      <c r="D57" s="4" t="str">
        <f t="shared" si="1"/>
        <v>BZ</v>
      </c>
      <c r="E57" s="4" t="str">
        <f t="shared" si="2"/>
        <v>Medium value, erratic demand, monitor stock levels</v>
      </c>
    </row>
    <row r="58">
      <c r="A58" s="1" t="s">
        <v>168</v>
      </c>
      <c r="B58" s="4" t="str">
        <f t="array" ref="B58">XLOOKUP(A58,Inventory_Data!A:A,Inventory_Data!V:V)</f>
        <v>B</v>
      </c>
      <c r="C58" s="4" t="str">
        <f t="array" ref="C58">XLOOKUP(A58,Inventory_Data!A:A,Inventory_Data!Z:Z)</f>
        <v>Z</v>
      </c>
      <c r="D58" s="4" t="str">
        <f t="shared" si="1"/>
        <v>BZ</v>
      </c>
      <c r="E58" s="4" t="str">
        <f t="shared" si="2"/>
        <v>Medium value, erratic demand, monitor stock levels</v>
      </c>
    </row>
    <row r="59">
      <c r="A59" s="1" t="s">
        <v>171</v>
      </c>
      <c r="B59" s="4" t="str">
        <f t="array" ref="B59">XLOOKUP(A59,Inventory_Data!A:A,Inventory_Data!V:V)</f>
        <v>B</v>
      </c>
      <c r="C59" s="4" t="str">
        <f t="array" ref="C59">XLOOKUP(A59,Inventory_Data!A:A,Inventory_Data!Z:Z)</f>
        <v>Z</v>
      </c>
      <c r="D59" s="4" t="str">
        <f t="shared" si="1"/>
        <v>BZ</v>
      </c>
      <c r="E59" s="4" t="str">
        <f t="shared" si="2"/>
        <v>Medium value, erratic demand, monitor stock levels</v>
      </c>
    </row>
    <row r="60">
      <c r="A60" s="1" t="s">
        <v>173</v>
      </c>
      <c r="B60" s="4" t="str">
        <f t="array" ref="B60">XLOOKUP(A60,Inventory_Data!A:A,Inventory_Data!V:V)</f>
        <v>B</v>
      </c>
      <c r="C60" s="4" t="str">
        <f t="array" ref="C60">XLOOKUP(A60,Inventory_Data!A:A,Inventory_Data!Z:Z)</f>
        <v>Z</v>
      </c>
      <c r="D60" s="4" t="str">
        <f t="shared" si="1"/>
        <v>BZ</v>
      </c>
      <c r="E60" s="4" t="str">
        <f t="shared" si="2"/>
        <v>Medium value, erratic demand, monitor stock levels</v>
      </c>
    </row>
    <row r="61">
      <c r="A61" s="1" t="s">
        <v>175</v>
      </c>
      <c r="B61" s="4" t="str">
        <f t="array" ref="B61">XLOOKUP(A61,Inventory_Data!A:A,Inventory_Data!V:V)</f>
        <v>B</v>
      </c>
      <c r="C61" s="4" t="str">
        <f t="array" ref="C61">XLOOKUP(A61,Inventory_Data!A:A,Inventory_Data!Z:Z)</f>
        <v>Y</v>
      </c>
      <c r="D61" s="4" t="str">
        <f t="shared" si="1"/>
        <v>BY</v>
      </c>
      <c r="E61" s="4" t="str">
        <f t="shared" si="2"/>
        <v>Medium value, moderate variability, regular review</v>
      </c>
    </row>
    <row r="62">
      <c r="A62" s="1" t="s">
        <v>177</v>
      </c>
      <c r="B62" s="4" t="str">
        <f t="array" ref="B62">XLOOKUP(A62,Inventory_Data!A:A,Inventory_Data!V:V)</f>
        <v>B</v>
      </c>
      <c r="C62" s="4" t="str">
        <f t="array" ref="C62">XLOOKUP(A62,Inventory_Data!A:A,Inventory_Data!Z:Z)</f>
        <v>Z</v>
      </c>
      <c r="D62" s="4" t="str">
        <f t="shared" si="1"/>
        <v>BZ</v>
      </c>
      <c r="E62" s="4" t="str">
        <f t="shared" si="2"/>
        <v>Medium value, erratic demand, monitor stock levels</v>
      </c>
    </row>
    <row r="63">
      <c r="A63" s="1" t="s">
        <v>179</v>
      </c>
      <c r="B63" s="4" t="str">
        <f t="array" ref="B63">XLOOKUP(A63,Inventory_Data!A:A,Inventory_Data!V:V)</f>
        <v>B</v>
      </c>
      <c r="C63" s="4" t="str">
        <f t="array" ref="C63">XLOOKUP(A63,Inventory_Data!A:A,Inventory_Data!Z:Z)</f>
        <v>Z</v>
      </c>
      <c r="D63" s="4" t="str">
        <f t="shared" si="1"/>
        <v>BZ</v>
      </c>
      <c r="E63" s="4" t="str">
        <f t="shared" si="2"/>
        <v>Medium value, erratic demand, monitor stock levels</v>
      </c>
    </row>
    <row r="64">
      <c r="A64" s="1" t="s">
        <v>182</v>
      </c>
      <c r="B64" s="4" t="str">
        <f t="array" ref="B64">XLOOKUP(A64,Inventory_Data!A:A,Inventory_Data!V:V)</f>
        <v>B</v>
      </c>
      <c r="C64" s="4" t="str">
        <f t="array" ref="C64">XLOOKUP(A64,Inventory_Data!A:A,Inventory_Data!Z:Z)</f>
        <v>Z</v>
      </c>
      <c r="D64" s="4" t="str">
        <f t="shared" si="1"/>
        <v>BZ</v>
      </c>
      <c r="E64" s="4" t="str">
        <f t="shared" si="2"/>
        <v>Medium value, erratic demand, monitor stock levels</v>
      </c>
    </row>
    <row r="65">
      <c r="A65" s="1" t="s">
        <v>184</v>
      </c>
      <c r="B65" s="4" t="str">
        <f t="array" ref="B65">XLOOKUP(A65,Inventory_Data!A:A,Inventory_Data!V:V)</f>
        <v>B</v>
      </c>
      <c r="C65" s="4" t="str">
        <f t="array" ref="C65">XLOOKUP(A65,Inventory_Data!A:A,Inventory_Data!Z:Z)</f>
        <v>Z</v>
      </c>
      <c r="D65" s="4" t="str">
        <f t="shared" si="1"/>
        <v>BZ</v>
      </c>
      <c r="E65" s="4" t="str">
        <f t="shared" si="2"/>
        <v>Medium value, erratic demand, monitor stock levels</v>
      </c>
    </row>
    <row r="66">
      <c r="A66" s="1" t="s">
        <v>187</v>
      </c>
      <c r="B66" s="4" t="str">
        <f t="array" ref="B66">XLOOKUP(A66,Inventory_Data!A:A,Inventory_Data!V:V)</f>
        <v>B</v>
      </c>
      <c r="C66" s="4" t="str">
        <f t="array" ref="C66">XLOOKUP(A66,Inventory_Data!A:A,Inventory_Data!Z:Z)</f>
        <v>Z</v>
      </c>
      <c r="D66" s="4" t="str">
        <f t="shared" si="1"/>
        <v>BZ</v>
      </c>
      <c r="E66" s="4" t="str">
        <f t="shared" si="2"/>
        <v>Medium value, erratic demand, monitor stock levels</v>
      </c>
    </row>
    <row r="67">
      <c r="A67" s="1" t="s">
        <v>190</v>
      </c>
      <c r="B67" s="4" t="str">
        <f t="array" ref="B67">XLOOKUP(A67,Inventory_Data!A:A,Inventory_Data!V:V)</f>
        <v>B</v>
      </c>
      <c r="C67" s="4" t="str">
        <f t="array" ref="C67">XLOOKUP(A67,Inventory_Data!A:A,Inventory_Data!Z:Z)</f>
        <v>Y</v>
      </c>
      <c r="D67" s="4" t="str">
        <f t="shared" si="1"/>
        <v>BY</v>
      </c>
      <c r="E67" s="4" t="str">
        <f t="shared" si="2"/>
        <v>Medium value, moderate variability, regular review</v>
      </c>
    </row>
    <row r="68">
      <c r="A68" s="1" t="s">
        <v>192</v>
      </c>
      <c r="B68" s="4" t="str">
        <f t="array" ref="B68">XLOOKUP(A68,Inventory_Data!A:A,Inventory_Data!V:V)</f>
        <v>B</v>
      </c>
      <c r="C68" s="4" t="str">
        <f t="array" ref="C68">XLOOKUP(A68,Inventory_Data!A:A,Inventory_Data!Z:Z)</f>
        <v>Z</v>
      </c>
      <c r="D68" s="4" t="str">
        <f t="shared" si="1"/>
        <v>BZ</v>
      </c>
      <c r="E68" s="4" t="str">
        <f t="shared" si="2"/>
        <v>Medium value, erratic demand, monitor stock levels</v>
      </c>
    </row>
    <row r="69">
      <c r="A69" s="1" t="s">
        <v>194</v>
      </c>
      <c r="B69" s="4" t="str">
        <f t="array" ref="B69">XLOOKUP(A69,Inventory_Data!A:A,Inventory_Data!V:V)</f>
        <v>B</v>
      </c>
      <c r="C69" s="4" t="str">
        <f t="array" ref="C69">XLOOKUP(A69,Inventory_Data!A:A,Inventory_Data!Z:Z)</f>
        <v>Z</v>
      </c>
      <c r="D69" s="4" t="str">
        <f t="shared" si="1"/>
        <v>BZ</v>
      </c>
      <c r="E69" s="4" t="str">
        <f t="shared" si="2"/>
        <v>Medium value, erratic demand, monitor stock levels</v>
      </c>
    </row>
    <row r="70">
      <c r="A70" s="1" t="s">
        <v>196</v>
      </c>
      <c r="B70" s="4" t="str">
        <f t="array" ref="B70">XLOOKUP(A70,Inventory_Data!A:A,Inventory_Data!V:V)</f>
        <v>B</v>
      </c>
      <c r="C70" s="4" t="str">
        <f t="array" ref="C70">XLOOKUP(A70,Inventory_Data!A:A,Inventory_Data!Z:Z)</f>
        <v>Z</v>
      </c>
      <c r="D70" s="4" t="str">
        <f t="shared" si="1"/>
        <v>BZ</v>
      </c>
      <c r="E70" s="4" t="str">
        <f t="shared" si="2"/>
        <v>Medium value, erratic demand, monitor stock levels</v>
      </c>
    </row>
    <row r="71">
      <c r="A71" s="1" t="s">
        <v>198</v>
      </c>
      <c r="B71" s="4" t="str">
        <f t="array" ref="B71">XLOOKUP(A71,Inventory_Data!A:A,Inventory_Data!V:V)</f>
        <v>B</v>
      </c>
      <c r="C71" s="4" t="str">
        <f t="array" ref="C71">XLOOKUP(A71,Inventory_Data!A:A,Inventory_Data!Z:Z)</f>
        <v>Z</v>
      </c>
      <c r="D71" s="4" t="str">
        <f t="shared" si="1"/>
        <v>BZ</v>
      </c>
      <c r="E71" s="4" t="str">
        <f t="shared" si="2"/>
        <v>Medium value, erratic demand, monitor stock levels</v>
      </c>
    </row>
    <row r="72">
      <c r="A72" s="1" t="s">
        <v>200</v>
      </c>
      <c r="B72" s="4" t="str">
        <f t="array" ref="B72">XLOOKUP(A72,Inventory_Data!A:A,Inventory_Data!V:V)</f>
        <v>B</v>
      </c>
      <c r="C72" s="4" t="str">
        <f t="array" ref="C72">XLOOKUP(A72,Inventory_Data!A:A,Inventory_Data!Z:Z)</f>
        <v>Z</v>
      </c>
      <c r="D72" s="4" t="str">
        <f t="shared" si="1"/>
        <v>BZ</v>
      </c>
      <c r="E72" s="4" t="str">
        <f t="shared" si="2"/>
        <v>Medium value, erratic demand, monitor stock levels</v>
      </c>
    </row>
    <row r="73">
      <c r="A73" s="1" t="s">
        <v>203</v>
      </c>
      <c r="B73" s="4" t="str">
        <f t="array" ref="B73">XLOOKUP(A73,Inventory_Data!A:A,Inventory_Data!V:V)</f>
        <v>B</v>
      </c>
      <c r="C73" s="4" t="str">
        <f t="array" ref="C73">XLOOKUP(A73,Inventory_Data!A:A,Inventory_Data!Z:Z)</f>
        <v>Z</v>
      </c>
      <c r="D73" s="4" t="str">
        <f t="shared" si="1"/>
        <v>BZ</v>
      </c>
      <c r="E73" s="4" t="str">
        <f t="shared" si="2"/>
        <v>Medium value, erratic demand, monitor stock levels</v>
      </c>
    </row>
    <row r="74">
      <c r="A74" s="1" t="s">
        <v>205</v>
      </c>
      <c r="B74" s="4" t="str">
        <f t="array" ref="B74">XLOOKUP(A74,Inventory_Data!A:A,Inventory_Data!V:V)</f>
        <v>B</v>
      </c>
      <c r="C74" s="4" t="str">
        <f t="array" ref="C74">XLOOKUP(A74,Inventory_Data!A:A,Inventory_Data!Z:Z)</f>
        <v>Z</v>
      </c>
      <c r="D74" s="4" t="str">
        <f t="shared" si="1"/>
        <v>BZ</v>
      </c>
      <c r="E74" s="4" t="str">
        <f t="shared" si="2"/>
        <v>Medium value, erratic demand, monitor stock levels</v>
      </c>
    </row>
    <row r="75">
      <c r="A75" s="1" t="s">
        <v>208</v>
      </c>
      <c r="B75" s="4" t="str">
        <f t="array" ref="B75">XLOOKUP(A75,Inventory_Data!A:A,Inventory_Data!V:V)</f>
        <v>B</v>
      </c>
      <c r="C75" s="4" t="str">
        <f t="array" ref="C75">XLOOKUP(A75,Inventory_Data!A:A,Inventory_Data!Z:Z)</f>
        <v>Y</v>
      </c>
      <c r="D75" s="4" t="str">
        <f t="shared" si="1"/>
        <v>BY</v>
      </c>
      <c r="E75" s="4" t="str">
        <f t="shared" si="2"/>
        <v>Medium value, moderate variability, regular review</v>
      </c>
    </row>
    <row r="76">
      <c r="A76" s="1" t="s">
        <v>210</v>
      </c>
      <c r="B76" s="4" t="str">
        <f t="array" ref="B76">XLOOKUP(A76,Inventory_Data!A:A,Inventory_Data!V:V)</f>
        <v>B</v>
      </c>
      <c r="C76" s="4" t="str">
        <f t="array" ref="C76">XLOOKUP(A76,Inventory_Data!A:A,Inventory_Data!Z:Z)</f>
        <v>Z</v>
      </c>
      <c r="D76" s="4" t="str">
        <f t="shared" si="1"/>
        <v>BZ</v>
      </c>
      <c r="E76" s="4" t="str">
        <f t="shared" si="2"/>
        <v>Medium value, erratic demand, monitor stock levels</v>
      </c>
    </row>
    <row r="77">
      <c r="A77" s="1" t="s">
        <v>212</v>
      </c>
      <c r="B77" s="4" t="str">
        <f t="array" ref="B77">XLOOKUP(A77,Inventory_Data!A:A,Inventory_Data!V:V)</f>
        <v>B</v>
      </c>
      <c r="C77" s="4" t="str">
        <f t="array" ref="C77">XLOOKUP(A77,Inventory_Data!A:A,Inventory_Data!Z:Z)</f>
        <v>Z</v>
      </c>
      <c r="D77" s="4" t="str">
        <f t="shared" si="1"/>
        <v>BZ</v>
      </c>
      <c r="E77" s="4" t="str">
        <f t="shared" si="2"/>
        <v>Medium value, erratic demand, monitor stock levels</v>
      </c>
    </row>
    <row r="78">
      <c r="A78" s="1" t="s">
        <v>214</v>
      </c>
      <c r="B78" s="4" t="str">
        <f t="array" ref="B78">XLOOKUP(A78,Inventory_Data!A:A,Inventory_Data!V:V)</f>
        <v>B</v>
      </c>
      <c r="C78" s="4" t="str">
        <f t="array" ref="C78">XLOOKUP(A78,Inventory_Data!A:A,Inventory_Data!Z:Z)</f>
        <v>Z</v>
      </c>
      <c r="D78" s="4" t="str">
        <f t="shared" si="1"/>
        <v>BZ</v>
      </c>
      <c r="E78" s="4" t="str">
        <f t="shared" si="2"/>
        <v>Medium value, erratic demand, monitor stock levels</v>
      </c>
    </row>
    <row r="79">
      <c r="A79" s="1" t="s">
        <v>216</v>
      </c>
      <c r="B79" s="4" t="str">
        <f t="array" ref="B79">XLOOKUP(A79,Inventory_Data!A:A,Inventory_Data!V:V)</f>
        <v>C</v>
      </c>
      <c r="C79" s="4" t="str">
        <f t="array" ref="C79">XLOOKUP(A79,Inventory_Data!A:A,Inventory_Data!Z:Z)</f>
        <v>Z</v>
      </c>
      <c r="D79" s="4" t="str">
        <f t="shared" si="1"/>
        <v>CZ</v>
      </c>
      <c r="E79" s="4" t="str">
        <f t="shared" si="2"/>
        <v>Low value, erratic demand, review for obsolescence</v>
      </c>
    </row>
    <row r="80">
      <c r="A80" s="1" t="s">
        <v>217</v>
      </c>
      <c r="B80" s="4" t="str">
        <f t="array" ref="B80">XLOOKUP(A80,Inventory_Data!A:A,Inventory_Data!V:V)</f>
        <v>C</v>
      </c>
      <c r="C80" s="4" t="str">
        <f t="array" ref="C80">XLOOKUP(A80,Inventory_Data!A:A,Inventory_Data!Z:Z)</f>
        <v>Z</v>
      </c>
      <c r="D80" s="4" t="str">
        <f t="shared" si="1"/>
        <v>CZ</v>
      </c>
      <c r="E80" s="4" t="str">
        <f t="shared" si="2"/>
        <v>Low value, erratic demand, review for obsolescence</v>
      </c>
    </row>
    <row r="81">
      <c r="A81" s="1" t="s">
        <v>219</v>
      </c>
      <c r="B81" s="4" t="str">
        <f t="array" ref="B81">XLOOKUP(A81,Inventory_Data!A:A,Inventory_Data!V:V)</f>
        <v>C</v>
      </c>
      <c r="C81" s="4" t="str">
        <f t="array" ref="C81">XLOOKUP(A81,Inventory_Data!A:A,Inventory_Data!Z:Z)</f>
        <v>Z</v>
      </c>
      <c r="D81" s="4" t="str">
        <f t="shared" si="1"/>
        <v>CZ</v>
      </c>
      <c r="E81" s="4" t="str">
        <f t="shared" si="2"/>
        <v>Low value, erratic demand, review for obsolescence</v>
      </c>
    </row>
    <row r="82">
      <c r="A82" s="1" t="s">
        <v>222</v>
      </c>
      <c r="B82" s="4" t="str">
        <f t="array" ref="B82">XLOOKUP(A82,Inventory_Data!A:A,Inventory_Data!V:V)</f>
        <v>C</v>
      </c>
      <c r="C82" s="4" t="str">
        <f t="array" ref="C82">XLOOKUP(A82,Inventory_Data!A:A,Inventory_Data!Z:Z)</f>
        <v>Y</v>
      </c>
      <c r="D82" s="4" t="str">
        <f t="shared" si="1"/>
        <v>CY</v>
      </c>
      <c r="E82" s="4" t="str">
        <f t="shared" si="2"/>
        <v>Low value, moderate variability, simple monitoring</v>
      </c>
    </row>
    <row r="83">
      <c r="A83" s="1" t="s">
        <v>224</v>
      </c>
      <c r="B83" s="4" t="str">
        <f t="array" ref="B83">XLOOKUP(A83,Inventory_Data!A:A,Inventory_Data!V:V)</f>
        <v>C</v>
      </c>
      <c r="C83" s="4" t="str">
        <f t="array" ref="C83">XLOOKUP(A83,Inventory_Data!A:A,Inventory_Data!Z:Z)</f>
        <v>Z</v>
      </c>
      <c r="D83" s="4" t="str">
        <f t="shared" si="1"/>
        <v>CZ</v>
      </c>
      <c r="E83" s="4" t="str">
        <f t="shared" si="2"/>
        <v>Low value, erratic demand, review for obsolescence</v>
      </c>
    </row>
    <row r="84">
      <c r="A84" s="1" t="s">
        <v>225</v>
      </c>
      <c r="B84" s="4" t="str">
        <f t="array" ref="B84">XLOOKUP(A84,Inventory_Data!A:A,Inventory_Data!V:V)</f>
        <v>C</v>
      </c>
      <c r="C84" s="4" t="str">
        <f t="array" ref="C84">XLOOKUP(A84,Inventory_Data!A:A,Inventory_Data!Z:Z)</f>
        <v>Y</v>
      </c>
      <c r="D84" s="4" t="str">
        <f t="shared" si="1"/>
        <v>CY</v>
      </c>
      <c r="E84" s="4" t="str">
        <f t="shared" si="2"/>
        <v>Low value, moderate variability, simple monitoring</v>
      </c>
    </row>
    <row r="85">
      <c r="A85" s="1" t="s">
        <v>227</v>
      </c>
      <c r="B85" s="4" t="str">
        <f t="array" ref="B85">XLOOKUP(A85,Inventory_Data!A:A,Inventory_Data!V:V)</f>
        <v>C</v>
      </c>
      <c r="C85" s="4" t="str">
        <f t="array" ref="C85">XLOOKUP(A85,Inventory_Data!A:A,Inventory_Data!Z:Z)</f>
        <v>Z</v>
      </c>
      <c r="D85" s="4" t="str">
        <f t="shared" si="1"/>
        <v>CZ</v>
      </c>
      <c r="E85" s="4" t="str">
        <f t="shared" si="2"/>
        <v>Low value, erratic demand, review for obsolescence</v>
      </c>
    </row>
    <row r="86">
      <c r="A86" s="1" t="s">
        <v>230</v>
      </c>
      <c r="B86" s="4" t="str">
        <f t="array" ref="B86">XLOOKUP(A86,Inventory_Data!A:A,Inventory_Data!V:V)</f>
        <v>C</v>
      </c>
      <c r="C86" s="4" t="str">
        <f t="array" ref="C86">XLOOKUP(A86,Inventory_Data!A:A,Inventory_Data!Z:Z)</f>
        <v>Y</v>
      </c>
      <c r="D86" s="4" t="str">
        <f t="shared" si="1"/>
        <v>CY</v>
      </c>
      <c r="E86" s="4" t="str">
        <f t="shared" si="2"/>
        <v>Low value, moderate variability, simple monitoring</v>
      </c>
    </row>
    <row r="87">
      <c r="A87" s="1" t="s">
        <v>232</v>
      </c>
      <c r="B87" s="4" t="str">
        <f t="array" ref="B87">XLOOKUP(A87,Inventory_Data!A:A,Inventory_Data!V:V)</f>
        <v>C</v>
      </c>
      <c r="C87" s="4" t="str">
        <f t="array" ref="C87">XLOOKUP(A87,Inventory_Data!A:A,Inventory_Data!Z:Z)</f>
        <v>Z</v>
      </c>
      <c r="D87" s="4" t="str">
        <f t="shared" si="1"/>
        <v>CZ</v>
      </c>
      <c r="E87" s="4" t="str">
        <f t="shared" si="2"/>
        <v>Low value, erratic demand, review for obsolescence</v>
      </c>
    </row>
    <row r="88">
      <c r="A88" s="1" t="s">
        <v>234</v>
      </c>
      <c r="B88" s="4" t="str">
        <f t="array" ref="B88">XLOOKUP(A88,Inventory_Data!A:A,Inventory_Data!V:V)</f>
        <v>C</v>
      </c>
      <c r="C88" s="4" t="str">
        <f t="array" ref="C88">XLOOKUP(A88,Inventory_Data!A:A,Inventory_Data!Z:Z)</f>
        <v>Z</v>
      </c>
      <c r="D88" s="4" t="str">
        <f t="shared" si="1"/>
        <v>CZ</v>
      </c>
      <c r="E88" s="4" t="str">
        <f t="shared" si="2"/>
        <v>Low value, erratic demand, review for obsolescence</v>
      </c>
    </row>
    <row r="89">
      <c r="A89" s="1" t="s">
        <v>236</v>
      </c>
      <c r="B89" s="4" t="str">
        <f t="array" ref="B89">XLOOKUP(A89,Inventory_Data!A:A,Inventory_Data!V:V)</f>
        <v>C</v>
      </c>
      <c r="C89" s="4" t="str">
        <f t="array" ref="C89">XLOOKUP(A89,Inventory_Data!A:A,Inventory_Data!Z:Z)</f>
        <v>Z</v>
      </c>
      <c r="D89" s="4" t="str">
        <f t="shared" si="1"/>
        <v>CZ</v>
      </c>
      <c r="E89" s="4" t="str">
        <f t="shared" si="2"/>
        <v>Low value, erratic demand, review for obsolescence</v>
      </c>
    </row>
    <row r="90">
      <c r="A90" s="1" t="s">
        <v>238</v>
      </c>
      <c r="B90" s="4" t="str">
        <f t="array" ref="B90">XLOOKUP(A90,Inventory_Data!A:A,Inventory_Data!V:V)</f>
        <v>C</v>
      </c>
      <c r="C90" s="4" t="str">
        <f t="array" ref="C90">XLOOKUP(A90,Inventory_Data!A:A,Inventory_Data!Z:Z)</f>
        <v>Z</v>
      </c>
      <c r="D90" s="4" t="str">
        <f t="shared" si="1"/>
        <v>CZ</v>
      </c>
      <c r="E90" s="4" t="str">
        <f t="shared" si="2"/>
        <v>Low value, erratic demand, review for obsolescence</v>
      </c>
    </row>
    <row r="91">
      <c r="A91" s="1" t="s">
        <v>239</v>
      </c>
      <c r="B91" s="4" t="str">
        <f t="array" ref="B91">XLOOKUP(A91,Inventory_Data!A:A,Inventory_Data!V:V)</f>
        <v>C</v>
      </c>
      <c r="C91" s="4" t="str">
        <f t="array" ref="C91">XLOOKUP(A91,Inventory_Data!A:A,Inventory_Data!Z:Z)</f>
        <v>Z</v>
      </c>
      <c r="D91" s="4" t="str">
        <f t="shared" si="1"/>
        <v>CZ</v>
      </c>
      <c r="E91" s="4" t="str">
        <f t="shared" si="2"/>
        <v>Low value, erratic demand, review for obsolescence</v>
      </c>
    </row>
    <row r="92">
      <c r="A92" s="1" t="s">
        <v>241</v>
      </c>
      <c r="B92" s="4" t="str">
        <f t="array" ref="B92">XLOOKUP(A92,Inventory_Data!A:A,Inventory_Data!V:V)</f>
        <v>C</v>
      </c>
      <c r="C92" s="4" t="str">
        <f t="array" ref="C92">XLOOKUP(A92,Inventory_Data!A:A,Inventory_Data!Z:Z)</f>
        <v>Z</v>
      </c>
      <c r="D92" s="4" t="str">
        <f t="shared" si="1"/>
        <v>CZ</v>
      </c>
      <c r="E92" s="4" t="str">
        <f t="shared" si="2"/>
        <v>Low value, erratic demand, review for obsolescence</v>
      </c>
    </row>
    <row r="93">
      <c r="A93" s="1" t="s">
        <v>243</v>
      </c>
      <c r="B93" s="4" t="str">
        <f t="array" ref="B93">XLOOKUP(A93,Inventory_Data!A:A,Inventory_Data!V:V)</f>
        <v>C</v>
      </c>
      <c r="C93" s="4" t="str">
        <f t="array" ref="C93">XLOOKUP(A93,Inventory_Data!A:A,Inventory_Data!Z:Z)</f>
        <v>Y</v>
      </c>
      <c r="D93" s="4" t="str">
        <f t="shared" si="1"/>
        <v>CY</v>
      </c>
      <c r="E93" s="4" t="str">
        <f t="shared" si="2"/>
        <v>Low value, moderate variability, simple monitoring</v>
      </c>
    </row>
    <row r="94">
      <c r="A94" s="1" t="s">
        <v>245</v>
      </c>
      <c r="B94" s="4" t="str">
        <f t="array" ref="B94">XLOOKUP(A94,Inventory_Data!A:A,Inventory_Data!V:V)</f>
        <v>C</v>
      </c>
      <c r="C94" s="4" t="str">
        <f t="array" ref="C94">XLOOKUP(A94,Inventory_Data!A:A,Inventory_Data!Z:Z)</f>
        <v>Z</v>
      </c>
      <c r="D94" s="4" t="str">
        <f t="shared" si="1"/>
        <v>CZ</v>
      </c>
      <c r="E94" s="4" t="str">
        <f t="shared" si="2"/>
        <v>Low value, erratic demand, review for obsolescence</v>
      </c>
    </row>
    <row r="95">
      <c r="A95" s="1" t="s">
        <v>247</v>
      </c>
      <c r="B95" s="4" t="str">
        <f t="array" ref="B95">XLOOKUP(A95,Inventory_Data!A:A,Inventory_Data!V:V)</f>
        <v>C</v>
      </c>
      <c r="C95" s="4" t="str">
        <f t="array" ref="C95">XLOOKUP(A95,Inventory_Data!A:A,Inventory_Data!Z:Z)</f>
        <v>Y</v>
      </c>
      <c r="D95" s="4" t="str">
        <f t="shared" si="1"/>
        <v>CY</v>
      </c>
      <c r="E95" s="4" t="str">
        <f t="shared" si="2"/>
        <v>Low value, moderate variability, simple monitoring</v>
      </c>
    </row>
    <row r="96">
      <c r="A96" s="1" t="s">
        <v>250</v>
      </c>
      <c r="B96" s="4" t="str">
        <f t="array" ref="B96">XLOOKUP(A96,Inventory_Data!A:A,Inventory_Data!V:V)</f>
        <v>C</v>
      </c>
      <c r="C96" s="4" t="str">
        <f t="array" ref="C96">XLOOKUP(A96,Inventory_Data!A:A,Inventory_Data!Z:Z)</f>
        <v>Z</v>
      </c>
      <c r="D96" s="4" t="str">
        <f t="shared" si="1"/>
        <v>CZ</v>
      </c>
      <c r="E96" s="4" t="str">
        <f t="shared" si="2"/>
        <v>Low value, erratic demand, review for obsolescence</v>
      </c>
    </row>
    <row r="97">
      <c r="A97" s="1" t="s">
        <v>252</v>
      </c>
      <c r="B97" s="4" t="str">
        <f t="array" ref="B97">XLOOKUP(A97,Inventory_Data!A:A,Inventory_Data!V:V)</f>
        <v>C</v>
      </c>
      <c r="C97" s="4" t="str">
        <f t="array" ref="C97">XLOOKUP(A97,Inventory_Data!A:A,Inventory_Data!Z:Z)</f>
        <v>Y</v>
      </c>
      <c r="D97" s="4" t="str">
        <f t="shared" si="1"/>
        <v>CY</v>
      </c>
      <c r="E97" s="4" t="str">
        <f t="shared" si="2"/>
        <v>Low value, moderate variability, simple monitoring</v>
      </c>
    </row>
    <row r="98">
      <c r="A98" s="1" t="s">
        <v>255</v>
      </c>
      <c r="B98" s="4" t="str">
        <f t="array" ref="B98">XLOOKUP(A98,Inventory_Data!A:A,Inventory_Data!V:V)</f>
        <v>C</v>
      </c>
      <c r="C98" s="4" t="str">
        <f t="array" ref="C98">XLOOKUP(A98,Inventory_Data!A:A,Inventory_Data!Z:Z)</f>
        <v>Z</v>
      </c>
      <c r="D98" s="4" t="str">
        <f t="shared" si="1"/>
        <v>CZ</v>
      </c>
      <c r="E98" s="4" t="str">
        <f t="shared" si="2"/>
        <v>Low value, erratic demand, review for obsolescence</v>
      </c>
    </row>
    <row r="99">
      <c r="A99" s="1" t="s">
        <v>257</v>
      </c>
      <c r="B99" s="4" t="str">
        <f t="array" ref="B99">XLOOKUP(A99,Inventory_Data!A:A,Inventory_Data!V:V)</f>
        <v>C</v>
      </c>
      <c r="C99" s="4" t="str">
        <f t="array" ref="C99">XLOOKUP(A99,Inventory_Data!A:A,Inventory_Data!Z:Z)</f>
        <v>Y</v>
      </c>
      <c r="D99" s="4" t="str">
        <f t="shared" si="1"/>
        <v>CY</v>
      </c>
      <c r="E99" s="4" t="str">
        <f t="shared" si="2"/>
        <v>Low value, moderate variability, simple monitoring</v>
      </c>
    </row>
    <row r="100">
      <c r="A100" s="1" t="s">
        <v>259</v>
      </c>
      <c r="B100" s="4" t="str">
        <f t="array" ref="B100">XLOOKUP(A100,Inventory_Data!A:A,Inventory_Data!V:V)</f>
        <v>C</v>
      </c>
      <c r="C100" s="4" t="str">
        <f t="array" ref="C100">XLOOKUP(A100,Inventory_Data!A:A,Inventory_Data!Z:Z)</f>
        <v>Z</v>
      </c>
      <c r="D100" s="4" t="str">
        <f t="shared" si="1"/>
        <v>CZ</v>
      </c>
      <c r="E100" s="4" t="str">
        <f t="shared" si="2"/>
        <v>Low value, erratic demand, review for obsolescence</v>
      </c>
    </row>
    <row r="101">
      <c r="A101" s="1" t="s">
        <v>261</v>
      </c>
      <c r="B101" s="4" t="str">
        <f t="array" ref="B101">XLOOKUP(A101,Inventory_Data!A:A,Inventory_Data!V:V)</f>
        <v>C</v>
      </c>
      <c r="C101" s="4" t="str">
        <f t="array" ref="C101">XLOOKUP(A101,Inventory_Data!A:A,Inventory_Data!Z:Z)</f>
        <v>Y</v>
      </c>
      <c r="D101" s="4" t="str">
        <f t="shared" si="1"/>
        <v>CY</v>
      </c>
      <c r="E101" s="4" t="str">
        <f t="shared" si="2"/>
        <v>Low value, moderate variability, simple monitoring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14"/>
    <col customWidth="1" min="2" max="3" width="46.29"/>
    <col customWidth="1" min="4" max="4" width="45.14"/>
    <col customWidth="1" min="5" max="5" width="44.14"/>
  </cols>
  <sheetData>
    <row r="1"/>
    <row r="2"/>
    <row r="3"/>
    <row r="4"/>
    <row r="5"/>
    <row r="6"/>
    <row r="11">
      <c r="A11" s="7" t="s">
        <v>275</v>
      </c>
      <c r="B11" s="7" t="s">
        <v>298</v>
      </c>
    </row>
    <row r="12">
      <c r="A12" s="2" t="s">
        <v>299</v>
      </c>
      <c r="B12" s="2" t="s">
        <v>300</v>
      </c>
    </row>
    <row r="13">
      <c r="A13" s="2" t="s">
        <v>301</v>
      </c>
      <c r="B13" s="2" t="s">
        <v>302</v>
      </c>
    </row>
    <row r="14">
      <c r="A14" s="2" t="s">
        <v>303</v>
      </c>
      <c r="B14" s="2" t="s">
        <v>304</v>
      </c>
    </row>
    <row r="15">
      <c r="A15" s="2" t="s">
        <v>305</v>
      </c>
      <c r="B15" s="2" t="s">
        <v>306</v>
      </c>
    </row>
    <row r="16">
      <c r="A16" s="2" t="s">
        <v>307</v>
      </c>
      <c r="B16" s="2" t="s">
        <v>308</v>
      </c>
    </row>
    <row r="17">
      <c r="A17" s="2" t="s">
        <v>309</v>
      </c>
      <c r="B17" s="2" t="s">
        <v>310</v>
      </c>
    </row>
    <row r="18">
      <c r="A18" s="2" t="s">
        <v>311</v>
      </c>
      <c r="B18" s="2" t="s">
        <v>312</v>
      </c>
    </row>
    <row r="19">
      <c r="A19" s="2" t="s">
        <v>313</v>
      </c>
      <c r="B19" s="2" t="s">
        <v>314</v>
      </c>
    </row>
    <row r="20">
      <c r="A20" s="2" t="s">
        <v>315</v>
      </c>
      <c r="B20" s="2" t="s">
        <v>316</v>
      </c>
    </row>
  </sheetData>
  <conditionalFormatting sqref="B3:C5">
    <cfRule type="colorScale" priority="1">
      <colorScale>
        <cfvo type="formula" val="0"/>
        <cfvo type="formula" val="38"/>
        <color rgb="FFFFFFFF"/>
        <color rgb="FF57BB8A"/>
      </colorScale>
    </cfRule>
  </conditionalFormatting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18.43"/>
    <col customWidth="1" min="5" max="5" width="19.71"/>
  </cols>
  <sheetData>
    <row r="1"/>
    <row r="2">
      <c r="C2" s="2"/>
    </row>
    <row r="3">
      <c r="D3" s="7" t="s">
        <v>275</v>
      </c>
      <c r="E3" s="7" t="s">
        <v>276</v>
      </c>
    </row>
    <row r="4">
      <c r="D4" s="2" t="s">
        <v>277</v>
      </c>
      <c r="E4" s="2" t="s">
        <v>278</v>
      </c>
    </row>
    <row r="5">
      <c r="D5" s="2" t="s">
        <v>279</v>
      </c>
      <c r="E5" s="2" t="s">
        <v>280</v>
      </c>
    </row>
    <row r="6">
      <c r="D6" s="2" t="s">
        <v>281</v>
      </c>
      <c r="E6" s="2" t="s">
        <v>282</v>
      </c>
    </row>
    <row r="7">
      <c r="D7" s="2" t="s">
        <v>283</v>
      </c>
      <c r="E7" s="2" t="s">
        <v>284</v>
      </c>
    </row>
    <row r="8">
      <c r="D8" s="2" t="s">
        <v>285</v>
      </c>
      <c r="E8" s="2" t="s">
        <v>286</v>
      </c>
    </row>
    <row r="9">
      <c r="D9" s="2" t="s">
        <v>287</v>
      </c>
      <c r="E9" s="2" t="s">
        <v>288</v>
      </c>
    </row>
    <row r="10">
      <c r="D10" s="2" t="s">
        <v>289</v>
      </c>
      <c r="E10" s="2" t="s">
        <v>290</v>
      </c>
    </row>
    <row r="11">
      <c r="D11" s="2" t="s">
        <v>291</v>
      </c>
      <c r="E11" s="2" t="s">
        <v>292</v>
      </c>
    </row>
    <row r="12">
      <c r="D12" s="2" t="s">
        <v>293</v>
      </c>
      <c r="E12" s="2" t="s">
        <v>294</v>
      </c>
    </row>
  </sheetData>
  <drawing r:id="rId2"/>
</worksheet>
</file>