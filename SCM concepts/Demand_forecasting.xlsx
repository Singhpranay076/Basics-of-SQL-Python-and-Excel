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png" ContentType="image/pn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Sheet2" r:id="rId2" sheetId="2"/>
  </sheets>
  <extLst/>
</workbook>
</file>

<file path=xl/sharedStrings.xml><?xml version="1.0" encoding="utf-8"?>
<sst xmlns="http://schemas.openxmlformats.org/spreadsheetml/2006/main" count="24" uniqueCount="24">
  <si>
    <t>Month</t>
  </si>
  <si>
    <t>Actual_Demand</t>
  </si>
  <si>
    <t>3MA Forecast</t>
  </si>
  <si>
    <t>ES     (a = 0.2)</t>
  </si>
  <si>
    <t>ES    (a = 0.5)</t>
  </si>
  <si>
    <t>3MA error</t>
  </si>
  <si>
    <t>ES 0.2 Error</t>
  </si>
  <si>
    <t>ES 0.5 Error</t>
  </si>
  <si>
    <t xml:space="preserve">January </t>
  </si>
  <si>
    <t>February</t>
  </si>
  <si>
    <t>March</t>
  </si>
  <si>
    <t>April</t>
  </si>
  <si>
    <t>May</t>
  </si>
  <si>
    <t>Method</t>
  </si>
  <si>
    <t xml:space="preserve">Mean Absolute Error </t>
  </si>
  <si>
    <t>June</t>
  </si>
  <si>
    <t>July</t>
  </si>
  <si>
    <t>ES   (a = 0.2)</t>
  </si>
  <si>
    <t>August</t>
  </si>
  <si>
    <t>Won !!!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</si>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</sst>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formatCode="#0.00" numFmtId="164"/>
  </numFmts>
  <fonts count="6">
    <font>
      <sz val="10"/>
      <color rgb="FF000000"/>
      <name val="Roboto"/>
    </font>
    <font>
      <sz val="10"/>
      <color rgb="FFE31414"/>
      <name val="Roboto"/>
    </font>
    <font>
      <sz val="10"/>
      <color rgb="FF2D3B4A"/>
      <name val="Roboto"/>
    </font>
    <font>
      <sz val="10"/>
      <name val="Roboto"/>
    </font>
    <font>
      <b/>
      <sz val="10"/>
      <name val="Roboto"/>
    </font>
    <font>
      <sz val="10"/>
      <color rgb="FF0519F5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8">
    <xf borderId="0" fillId="0" fontId="0" numFmtId="0" xfId="0">
      <alignment vertical="top"/>
    </xf>
    <xf borderId="0" fillId="2" fontId="1" numFmtId="0" xfId="0">
      <alignment vertical="top"/>
    </xf>
    <xf borderId="0" fillId="0" fontId="2" numFmtId="0" xfId="0">
      <alignment vertical="top"/>
    </xf>
    <xf borderId="0" fillId="0" fontId="3" numFmtId="0" xfId="0">
      <alignment vertical="top"/>
    </xf>
    <xf borderId="0" fillId="0" fontId="3" numFmtId="164" xfId="0">
      <alignment vertical="top"/>
    </xf>
    <xf borderId="0" fillId="2" fontId="2" numFmtId="0" xfId="0">
      <alignment vertical="top"/>
    </xf>
    <xf borderId="0" fillId="0" fontId="4" numFmtId="0" xfId="0">
      <alignment vertical="top"/>
    </xf>
    <xf borderId="0" fillId="0" fontId="5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Target="../media/image1.png" Id="rId1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1</xdr:col>
      <xdr:colOff>762000</xdr:colOff>
      <xdr:row>17</xdr:row>
      <xdr:rowOff>91440</xdr:rowOff>
    </xdr:from>
    <xdr:ext cx="7620000" cy="978408"/>
    <xdr:pic>
      <xdr:nvPicPr>
        <xdr:cNvPr id="0" name="image.png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13"/>
  <sheetViews>
    <sheetView workbookViewId="0"/>
  </sheetViews>
  <sheetFormatPr defaultRowHeight="14.0" customHeight="1"/>
  <cols>
    <col min="1" max="10" width="13.24"/>
    <col min="11" max="11" width="17.35"/>
    <col min="12" max="12" width="13.2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100.0</v>
      </c>
      <c r="C2" s="4">
        <v>0.0</v>
      </c>
      <c r="D2" s="4">
        <f>B2</f>
        <v>100.0</v>
      </c>
      <c r="E2" s="4">
        <f>B2</f>
        <v>100.0</v>
      </c>
      <c r="F2" s="4">
        <v>0.0</v>
      </c>
      <c r="G2" s="4">
        <f t="shared" ref="G2:G13" si="2">ABS(B2-D2)</f>
        <v>0.0</v>
      </c>
      <c r="H2" s="4">
        <f t="shared" ref="H2:H13" si="3">ABS(B2-E2)</f>
        <v>0.0</v>
      </c>
    </row>
    <row r="3">
      <c r="A3" s="2" t="s">
        <v>9</v>
      </c>
      <c r="B3" s="3">
        <v>110.0</v>
      </c>
      <c r="C3" s="4">
        <v>0.0</v>
      </c>
      <c r="D3" s="4">
        <f t="shared" ref="D3:D13" si="4">0.2*B2+(1-0.2)*D2</f>
        <v>100.0</v>
      </c>
      <c r="E3" s="4">
        <f t="shared" ref="E3:E13" si="5">0.5*B2+(1-0.5)*E2</f>
        <v>100.0</v>
      </c>
      <c r="F3" s="4">
        <v>0.0</v>
      </c>
      <c r="G3" s="4">
        <f t="shared" si="2"/>
        <v>10.0</v>
      </c>
      <c r="H3" s="4">
        <f t="shared" si="3"/>
        <v>10.0</v>
      </c>
    </row>
    <row r="4">
      <c r="A4" s="2" t="s">
        <v>10</v>
      </c>
      <c r="B4" s="3">
        <v>105.0</v>
      </c>
      <c r="C4" s="4">
        <v>0.0</v>
      </c>
      <c r="D4" s="4">
        <f t="shared" si="4"/>
        <v>102.0</v>
      </c>
      <c r="E4" s="4">
        <f t="shared" si="5"/>
        <v>105.0</v>
      </c>
      <c r="F4" s="4">
        <v>0.0</v>
      </c>
      <c r="G4" s="4">
        <f t="shared" si="2"/>
        <v>3.0</v>
      </c>
      <c r="H4" s="4">
        <f t="shared" si="3"/>
        <v>0.0</v>
      </c>
    </row>
    <row r="5">
      <c r="A5" s="2" t="s">
        <v>11</v>
      </c>
      <c r="B5" s="3">
        <v>130.0</v>
      </c>
      <c r="C5" s="4">
        <f t="shared" ref="C5:C13" si="6">AVERAGE(B2:B4)</f>
        <v>105.0</v>
      </c>
      <c r="D5" s="4">
        <f t="shared" si="4"/>
        <v>102.6</v>
      </c>
      <c r="E5" s="4">
        <f t="shared" si="5"/>
        <v>105.0</v>
      </c>
      <c r="F5" s="4">
        <f t="shared" ref="F5:F13" si="7">ABS(B5-C5)</f>
        <v>25.0</v>
      </c>
      <c r="G5" s="4">
        <f t="shared" si="2"/>
        <v>27.4</v>
      </c>
      <c r="H5" s="4">
        <f t="shared" si="3"/>
        <v>25.0</v>
      </c>
    </row>
    <row r="6">
      <c r="A6" s="2" t="s">
        <v>12</v>
      </c>
      <c r="B6" s="3">
        <v>160.0</v>
      </c>
      <c r="C6" s="4">
        <f t="shared" si="6"/>
        <v>115.0</v>
      </c>
      <c r="D6" s="4">
        <f t="shared" si="4"/>
        <v>108.08</v>
      </c>
      <c r="E6" s="4">
        <f t="shared" si="5"/>
        <v>117.5</v>
      </c>
      <c r="F6" s="4">
        <f t="shared" si="7"/>
        <v>45.0</v>
      </c>
      <c r="G6" s="4">
        <f t="shared" si="2"/>
        <v>51.92</v>
      </c>
      <c r="H6" s="4">
        <f t="shared" si="3"/>
        <v>42.5</v>
      </c>
      <c r="J6" s="1" t="s">
        <v>13</v>
      </c>
      <c r="K6" s="1" t="s">
        <v>14</v>
      </c>
    </row>
    <row r="7">
      <c r="A7" s="2" t="s">
        <v>15</v>
      </c>
      <c r="B7" s="3">
        <v>200.0</v>
      </c>
      <c r="C7" s="4">
        <f t="shared" si="6"/>
        <v>131.666666666667</v>
      </c>
      <c r="D7" s="4">
        <f t="shared" si="4"/>
        <v>118.464</v>
      </c>
      <c r="E7" s="4">
        <f t="shared" si="5"/>
        <v>138.75</v>
      </c>
      <c r="F7" s="4">
        <f t="shared" si="7"/>
        <v>68.333333333333</v>
      </c>
      <c r="G7" s="4">
        <f t="shared" si="2"/>
        <v>81.536</v>
      </c>
      <c r="H7" s="4">
        <f t="shared" si="3"/>
        <v>61.25</v>
      </c>
      <c r="J7" s="5" t="s">
        <v>2</v>
      </c>
      <c r="K7">
        <f>AVERAGE(F5:F13)</f>
        <v>33.3333333333333</v>
      </c>
    </row>
    <row r="8">
      <c r="A8" s="2" t="s">
        <v>16</v>
      </c>
      <c r="B8" s="3">
        <v>190.0</v>
      </c>
      <c r="C8" s="4">
        <f t="shared" si="6"/>
        <v>163.333333333333</v>
      </c>
      <c r="D8" s="4">
        <f t="shared" si="4"/>
        <v>134.7712</v>
      </c>
      <c r="E8" s="4">
        <f t="shared" si="5"/>
        <v>169.375</v>
      </c>
      <c r="F8" s="4">
        <f t="shared" si="7"/>
        <v>26.666666666667</v>
      </c>
      <c r="G8" s="4">
        <f t="shared" si="2"/>
        <v>55.2288</v>
      </c>
      <c r="H8" s="4">
        <f t="shared" si="3"/>
        <v>20.625</v>
      </c>
      <c r="I8" s="6"/>
      <c r="J8" s="5" t="s">
        <v>17</v>
      </c>
      <c r="K8">
        <f>AVERAGE(G5:G13)</f>
        <v>35.5019080817778</v>
      </c>
    </row>
    <row r="9">
      <c r="A9" s="2" t="s">
        <v>18</v>
      </c>
      <c r="B9" s="3">
        <v>170.0</v>
      </c>
      <c r="C9" s="4">
        <f t="shared" si="6"/>
        <v>183.333333333333</v>
      </c>
      <c r="D9" s="4">
        <f t="shared" si="4"/>
        <v>145.81696</v>
      </c>
      <c r="E9" s="4">
        <f t="shared" si="5"/>
        <v>179.6875</v>
      </c>
      <c r="F9" s="4">
        <f t="shared" si="7"/>
        <v>13.333333333333</v>
      </c>
      <c r="G9" s="4">
        <f t="shared" si="2"/>
        <v>24.18304</v>
      </c>
      <c r="H9" s="4">
        <f t="shared" si="3"/>
        <v>9.6875</v>
      </c>
      <c r="J9" s="5" t="s">
        <v>4</v>
      </c>
      <c r="K9" s="7">
        <f>AVERAGE(H5:H13)</f>
        <v>28.5438368055556</v>
      </c>
      <c r="L9" t="s">
        <v>19</v>
      </c>
    </row>
    <row r="10">
      <c r="A10" s="2" t="s">
        <v>20</v>
      </c>
      <c r="B10" s="3">
        <v>140.0</v>
      </c>
      <c r="C10" s="4">
        <f t="shared" si="6"/>
        <v>186.666666666667</v>
      </c>
      <c r="D10" s="4">
        <f t="shared" si="4"/>
        <v>150.653568</v>
      </c>
      <c r="E10" s="4">
        <f t="shared" si="5"/>
        <v>174.84375</v>
      </c>
      <c r="F10" s="4">
        <f t="shared" si="7"/>
        <v>46.666666666667</v>
      </c>
      <c r="G10" s="4">
        <f t="shared" si="2"/>
        <v>10.653568</v>
      </c>
      <c r="H10" s="4">
        <f t="shared" si="3"/>
        <v>34.84375</v>
      </c>
      <c r="J10" s="3"/>
    </row>
    <row r="11">
      <c r="A11" s="2" t="s">
        <v>21</v>
      </c>
      <c r="B11" s="3">
        <v>120.0</v>
      </c>
      <c r="C11" s="4">
        <f t="shared" si="6"/>
        <v>166.666666666667</v>
      </c>
      <c r="D11" s="4">
        <f t="shared" si="4"/>
        <v>148.5228544</v>
      </c>
      <c r="E11" s="4">
        <f t="shared" si="5"/>
        <v>157.421875</v>
      </c>
      <c r="F11" s="4">
        <f t="shared" si="7"/>
        <v>46.666666666667</v>
      </c>
      <c r="G11" s="4">
        <f t="shared" si="2"/>
        <v>28.5228544</v>
      </c>
      <c r="H11" s="4">
        <f t="shared" si="3"/>
        <v>37.421875</v>
      </c>
      <c r="J11" s="3"/>
    </row>
    <row r="12">
      <c r="A12" s="2" t="s">
        <v>22</v>
      </c>
      <c r="B12" s="3">
        <v>115.0</v>
      </c>
      <c r="C12" s="4">
        <f t="shared" si="6"/>
        <v>143.333333333333</v>
      </c>
      <c r="D12" s="4">
        <f t="shared" si="4"/>
        <v>142.81828352</v>
      </c>
      <c r="E12" s="4">
        <f t="shared" si="5"/>
        <v>138.7109375</v>
      </c>
      <c r="F12" s="4">
        <f t="shared" si="7"/>
        <v>28.333333333333</v>
      </c>
      <c r="G12" s="4">
        <f t="shared" si="2"/>
        <v>27.8182835199998</v>
      </c>
      <c r="H12" s="4">
        <f t="shared" si="3"/>
        <v>23.7109375</v>
      </c>
      <c r="J12" s="3"/>
    </row>
    <row r="13">
      <c r="A13" s="2" t="s">
        <v>23</v>
      </c>
      <c r="B13" s="3">
        <v>125.0</v>
      </c>
      <c r="C13" s="4">
        <f t="shared" si="6"/>
        <v>125.0</v>
      </c>
      <c r="D13" s="4">
        <f t="shared" si="4"/>
        <v>137.254626816</v>
      </c>
      <c r="E13" s="4">
        <f t="shared" si="5"/>
        <v>126.85546875</v>
      </c>
      <c r="F13" s="4">
        <f t="shared" si="7"/>
        <v>0.0</v>
      </c>
      <c r="G13" s="4">
        <f t="shared" si="2"/>
        <v>12.254626816</v>
      </c>
      <c r="H13" s="4">
        <f t="shared" si="3"/>
        <v>1.85546875</v>
      </c>
      <c r="J13" s="3"/>
    </row>
    <row r="14">
      <c r="A14" s="2"/>
      <c r="C14" s="4"/>
      <c r="E14" s="4"/>
      <c r="H14" s="3"/>
      <c r="J14" s="3"/>
    </row>
    <row r="15">
      <c r="A15" s="2"/>
      <c r="B15" s="3"/>
      <c r="C15" s="4"/>
      <c r="D15" s="3"/>
      <c r="E15" s="4"/>
      <c r="H15" s="3"/>
      <c r="J15" s="3"/>
    </row>
    <row r="16">
      <c r="A16" s="2"/>
      <c r="C16" s="4"/>
      <c r="E16" s="4"/>
      <c r="H16" s="3"/>
      <c r="J16" s="3"/>
    </row>
    <row r="17">
      <c r="H17" s="3"/>
      <c r="J17" s="3"/>
    </row>
    <row r="18">
      <c r="H18" s="3"/>
      <c r="J18" s="3"/>
    </row>
    <row r="19">
      <c r="H19" s="3"/>
      <c r="J19" s="3"/>
    </row>
    <row r="20">
      <c r="H20" s="3"/>
      <c r="J20" s="3"/>
    </row>
    <row r="21">
      <c r="I21" s="3"/>
    </row>
  </sheetData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4.0" customHeight="1"/>
  <cols>
    <col min="1" max="1" width="13.24"/>
  </cols>
  <sheetData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2026-04-28T07:46:15Z</dcterms:created>
</cp:coreProperties>
</file>