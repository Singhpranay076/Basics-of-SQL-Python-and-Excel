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  <sheet name="ABC_XYZ_Matrix" r:id="rId2" sheetId="2"/>
  </sheets>
  <extLst/>
</workbook>
</file>

<file path=xl/sharedStrings.xml><?xml version="1.0" encoding="utf-8"?>
<sst xmlns="http://schemas.openxmlformats.org/spreadsheetml/2006/main" count="31" uniqueCount="31">
  <si>
    <t>SKU</t>
  </si>
  <si>
    <t>ABC_Class</t>
  </si>
  <si>
    <t>Mean_Demand</t>
  </si>
  <si>
    <t>Std_Dev</t>
  </si>
  <si>
    <t>CV</t>
  </si>
  <si>
    <t>XYZ_Class</t>
  </si>
  <si>
    <t>ABC_XYZ_Combine</t>
  </si>
  <si>
    <t>SKU_A1</t>
  </si>
  <si>
    <t>A</t>
  </si>
  <si>
    <t>X</t>
  </si>
  <si>
    <t>AX</t>
  </si>
  <si>
    <t>SKU_A2</t>
  </si>
  <si>
    <t>Z</t>
  </si>
  <si>
    <t>AZ</t>
  </si>
  <si>
    <t>SKU_B1</t>
  </si>
  <si>
    <t>B</t>
  </si>
  <si>
    <t>BX</t>
  </si>
  <si>
    <t>SKU_B2</t>
  </si>
  <si>
    <t>Y</t>
  </si>
  <si>
    <t>BY</t>
  </si>
  <si>
    <t>SKU_C1</t>
  </si>
  <si>
    <t>C</t>
  </si>
  <si>
    <t>CX</t>
  </si>
  <si>
    <t>SKU_C2</t>
  </si>
  <si>
    <t>CZ</t>
  </si>
  <si>
    <t>X (Stable)</t>
  </si>
  <si>
    <t>Y (Moderate)</t>
  </si>
  <si>
    <t>Z (Erratic)</t>
  </si>
  <si>
    <t>AY</t>
  </si>
  <si>
    <t>BZ</t>
  </si>
  <si>
    <t>CY</t>
  </si>
</sst>
</file>

<file path=xl/styles.xml><?xml version="1.0" encoding="utf-8"?>
<styleSheet xmlns="http://schemas.openxmlformats.org/spreadsheetml/2006/main">
  <numFmts count="3">
    <numFmt formatCode="mmm-d" numFmtId="164"/>
    <numFmt formatCode="#0.00" numFmtId="165"/>
    <numFmt formatCode="#0.000" numFmtId="166"/>
  </numFmts>
  <fonts count="3">
    <font>
      <sz val="10"/>
      <color rgb="FF000000"/>
      <name val="Roboto"/>
    </font>
    <font>
      <b/>
      <sz val="10"/>
      <name val="Roboto"/>
    </font>
    <font>
      <sz val="1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6">
    <xf borderId="0" fillId="0" fontId="0" numFmtId="0" xfId="0">
      <alignment vertical="top"/>
    </xf>
    <xf borderId="0" fillId="0" fontId="1" numFmtId="0" xfId="0">
      <alignment vertical="top"/>
    </xf>
    <xf borderId="0" fillId="0" fontId="1" numFmtId="164" xfId="0">
      <alignment vertical="top"/>
    </xf>
    <xf borderId="0" fillId="0" fontId="2" numFmtId="165" xfId="0">
      <alignment vertical="top"/>
    </xf>
    <xf borderId="0" fillId="0" fontId="2" numFmtId="166" xfId="0">
      <alignment vertical="top"/>
    </xf>
    <xf borderId="0" fillId="0" fontId="2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sharedStrings.xml" Id="rId3" Type="http://schemas.openxmlformats.org/officeDocument/2006/relationships/sharedStrings"/><Relationship Target="styles.xml" Id="rId4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S7"/>
  <sheetViews>
    <sheetView workbookViewId="0"/>
  </sheetViews>
  <sheetFormatPr defaultRowHeight="14.0" customHeight="1"/>
  <cols>
    <col min="1" max="1" width="7.55"/>
    <col min="2" max="2" width="9.14"/>
    <col min="3" max="4" width="6.88"/>
    <col min="5" max="5" width="7.15"/>
    <col min="6" max="6" width="6.88"/>
    <col min="7" max="7" width="7.41"/>
    <col min="8" max="8" width="6.88"/>
    <col min="9" max="9" width="6.49"/>
    <col min="10" max="10" width="7.15"/>
    <col min="11" max="11" width="7.02"/>
    <col min="12" max="12" width="6.75"/>
    <col min="13" max="13" width="7.15"/>
    <col min="14" max="14" width="7.02"/>
    <col min="15" max="15" width="12.45"/>
    <col min="16" max="16" width="7.41"/>
    <col min="17" max="17" width="3.57"/>
    <col min="18" max="18" width="13.24"/>
    <col min="19" max="19" width="16.29"/>
    <col min="20" max="20" width="13.24"/>
  </cols>
  <sheetData>
    <row r="1">
      <c r="A1" s="1" t="s">
        <v>0</v>
      </c>
      <c r="B1" s="1" t="s">
        <v>1</v>
      </c>
      <c r="C1" s="2">
        <v>46047</v>
      </c>
      <c r="D1" s="2">
        <v>46078</v>
      </c>
      <c r="E1" s="2">
        <v>46106</v>
      </c>
      <c r="F1" s="2">
        <v>46137</v>
      </c>
      <c r="G1" s="2">
        <v>46167</v>
      </c>
      <c r="H1" s="2">
        <v>46198</v>
      </c>
      <c r="I1" s="2">
        <v>46228</v>
      </c>
      <c r="J1" s="2">
        <v>46259</v>
      </c>
      <c r="K1" s="2">
        <v>46290</v>
      </c>
      <c r="L1" s="2">
        <v>46320</v>
      </c>
      <c r="M1" s="2">
        <v>46351</v>
      </c>
      <c r="N1" s="2">
        <v>46381</v>
      </c>
      <c r="O1" t="s">
        <v>2</v>
      </c>
      <c r="P1" t="s">
        <v>3</v>
      </c>
      <c r="Q1" t="s">
        <v>4</v>
      </c>
      <c r="R1" t="s">
        <v>5</v>
      </c>
      <c r="S1" t="s">
        <v>6</v>
      </c>
    </row>
    <row r="2">
      <c r="A2" t="s">
        <v>7</v>
      </c>
      <c r="B2" t="s">
        <v>8</v>
      </c>
      <c r="C2">
        <v>120.0</v>
      </c>
      <c r="D2">
        <v>118.0</v>
      </c>
      <c r="E2">
        <v>122.0</v>
      </c>
      <c r="F2">
        <v>119.0</v>
      </c>
      <c r="G2">
        <v>121.0</v>
      </c>
      <c r="H2">
        <v>117.0</v>
      </c>
      <c r="I2">
        <v>120.0</v>
      </c>
      <c r="J2">
        <v>123.0</v>
      </c>
      <c r="K2">
        <v>118.0</v>
      </c>
      <c r="L2">
        <v>119.0</v>
      </c>
      <c r="M2">
        <v>120.0</v>
      </c>
      <c r="N2">
        <v>121.0</v>
      </c>
      <c r="O2" s="3">
        <f t="shared" ref="O2:O7" si="0">AVERAGE(C2:N2)</f>
        <v>119.833333333333</v>
      </c>
      <c r="P2" s="3">
        <f t="shared" ref="P2:P7" si="1">STDEV(C2:O2)</f>
        <v>1.67497927018681</v>
      </c>
      <c r="Q2" s="4">
        <f t="shared" ref="Q2:Q7" si="2">IF(O2=0,0,P2/O2)</f>
        <v>0.0139775738819483</v>
      </c>
      <c r="R2" t="s">
        <f t="shared" ref="R2:R7" si="3">IF(Q2&lt;=0.25,"X",IF(Q2&lt;=0.5,"Y","Z"))</f>
        <v>9</v>
      </c>
      <c r="S2" t="s">
        <f t="shared" ref="S2:S7" si="4">B2&amp;R2</f>
        <v>10</v>
      </c>
    </row>
    <row r="3">
      <c r="A3" t="s">
        <v>11</v>
      </c>
      <c r="B3" t="s">
        <v>8</v>
      </c>
      <c r="C3">
        <v>80.0</v>
      </c>
      <c r="D3">
        <v>210.0</v>
      </c>
      <c r="E3">
        <v>45.0</v>
      </c>
      <c r="F3">
        <v>300.0</v>
      </c>
      <c r="G3">
        <v>30.0</v>
      </c>
      <c r="H3">
        <v>180.0</v>
      </c>
      <c r="I3">
        <v>90.0</v>
      </c>
      <c r="J3">
        <v>250.0</v>
      </c>
      <c r="K3">
        <v>60.0</v>
      </c>
      <c r="L3">
        <v>220.0</v>
      </c>
      <c r="M3">
        <v>50.0</v>
      </c>
      <c r="N3">
        <v>175.0</v>
      </c>
      <c r="O3" s="3">
        <f t="shared" si="0"/>
        <v>140.833333333333</v>
      </c>
      <c r="P3" s="3">
        <f t="shared" si="1"/>
        <v>88.2900837517379</v>
      </c>
      <c r="Q3" s="4">
        <f t="shared" si="2"/>
        <v>0.626911837290448</v>
      </c>
      <c r="R3" s="5" t="s">
        <f t="shared" si="3"/>
        <v>12</v>
      </c>
      <c r="S3" s="5" t="s">
        <f t="shared" si="4"/>
        <v>13</v>
      </c>
    </row>
    <row r="4">
      <c r="A4" t="s">
        <v>14</v>
      </c>
      <c r="B4" t="s">
        <v>15</v>
      </c>
      <c r="C4">
        <v>50.0</v>
      </c>
      <c r="D4">
        <v>51.0</v>
      </c>
      <c r="E4">
        <v>49.0</v>
      </c>
      <c r="F4">
        <v>50.0</v>
      </c>
      <c r="G4">
        <v>52.0</v>
      </c>
      <c r="H4">
        <v>48.0</v>
      </c>
      <c r="I4">
        <v>51.0</v>
      </c>
      <c r="J4">
        <v>50.0</v>
      </c>
      <c r="K4">
        <v>49.0</v>
      </c>
      <c r="L4">
        <v>51.0</v>
      </c>
      <c r="M4">
        <v>50.0</v>
      </c>
      <c r="N4">
        <v>52.0</v>
      </c>
      <c r="O4" s="3">
        <f t="shared" si="0"/>
        <v>50.25</v>
      </c>
      <c r="P4" s="3">
        <f t="shared" si="1"/>
        <v>1.16368667031408</v>
      </c>
      <c r="Q4" s="4">
        <f t="shared" si="2"/>
        <v>0.0231579436878423</v>
      </c>
      <c r="R4" s="5" t="s">
        <f t="shared" si="3"/>
        <v>9</v>
      </c>
      <c r="S4" s="5" t="s">
        <f t="shared" si="4"/>
        <v>16</v>
      </c>
    </row>
    <row r="5">
      <c r="A5" t="s">
        <v>17</v>
      </c>
      <c r="B5" t="s">
        <v>15</v>
      </c>
      <c r="C5">
        <v>40.0</v>
      </c>
      <c r="D5">
        <v>70.0</v>
      </c>
      <c r="E5">
        <v>30.0</v>
      </c>
      <c r="F5">
        <v>65.0</v>
      </c>
      <c r="G5">
        <v>55.0</v>
      </c>
      <c r="H5">
        <v>35.0</v>
      </c>
      <c r="I5">
        <v>80.0</v>
      </c>
      <c r="J5">
        <v>25.0</v>
      </c>
      <c r="K5">
        <v>60.0</v>
      </c>
      <c r="L5">
        <v>45.0</v>
      </c>
      <c r="M5">
        <v>72.0</v>
      </c>
      <c r="N5">
        <v>30.0</v>
      </c>
      <c r="O5" s="3">
        <f t="shared" si="0"/>
        <v>50.5833333333333</v>
      </c>
      <c r="P5" s="3">
        <f t="shared" si="1"/>
        <v>18.0391164479368</v>
      </c>
      <c r="Q5" s="4">
        <f t="shared" si="2"/>
        <v>0.356621741969097</v>
      </c>
      <c r="R5" s="5" t="s">
        <f t="shared" si="3"/>
        <v>18</v>
      </c>
      <c r="S5" s="5" t="s">
        <f t="shared" si="4"/>
        <v>19</v>
      </c>
    </row>
    <row r="6">
      <c r="A6" t="s">
        <v>20</v>
      </c>
      <c r="B6" t="s">
        <v>21</v>
      </c>
      <c r="C6">
        <v>10.0</v>
      </c>
      <c r="D6">
        <v>11.0</v>
      </c>
      <c r="E6">
        <v>9.0</v>
      </c>
      <c r="F6">
        <v>10.0</v>
      </c>
      <c r="G6">
        <v>12.0</v>
      </c>
      <c r="H6">
        <v>8.0</v>
      </c>
      <c r="I6">
        <v>11.0</v>
      </c>
      <c r="J6">
        <v>10.0</v>
      </c>
      <c r="K6">
        <v>9.0</v>
      </c>
      <c r="L6">
        <v>11.0</v>
      </c>
      <c r="M6">
        <v>10.0</v>
      </c>
      <c r="N6">
        <v>12.0</v>
      </c>
      <c r="O6" s="3">
        <f t="shared" si="0"/>
        <v>10.25</v>
      </c>
      <c r="P6" s="3">
        <f t="shared" si="1"/>
        <v>1.16368667031408</v>
      </c>
      <c r="Q6" s="4">
        <f t="shared" si="2"/>
        <v>0.11353040685991</v>
      </c>
      <c r="R6" s="5" t="s">
        <f t="shared" si="3"/>
        <v>9</v>
      </c>
      <c r="S6" s="5" t="s">
        <f t="shared" si="4"/>
        <v>22</v>
      </c>
    </row>
    <row r="7">
      <c r="A7" t="s">
        <v>23</v>
      </c>
      <c r="B7" t="s">
        <v>21</v>
      </c>
      <c r="C7">
        <v>5.0</v>
      </c>
      <c r="D7">
        <v>25.0</v>
      </c>
      <c r="E7">
        <v>2.0</v>
      </c>
      <c r="F7">
        <v>30.0</v>
      </c>
      <c r="G7">
        <v>8.0</v>
      </c>
      <c r="H7">
        <v>20.0</v>
      </c>
      <c r="I7">
        <v>3.0</v>
      </c>
      <c r="J7">
        <v>35.0</v>
      </c>
      <c r="K7">
        <v>1.0</v>
      </c>
      <c r="L7">
        <v>28.0</v>
      </c>
      <c r="M7">
        <v>4.0</v>
      </c>
      <c r="N7">
        <v>22.0</v>
      </c>
      <c r="O7" s="3">
        <f t="shared" si="0"/>
        <v>15.25</v>
      </c>
      <c r="P7" s="3">
        <f t="shared" si="1"/>
        <v>12.0632016203549</v>
      </c>
      <c r="Q7" s="4">
        <f t="shared" si="2"/>
        <v>0.791029614449501</v>
      </c>
      <c r="R7" s="5" t="s">
        <f t="shared" si="3"/>
        <v>12</v>
      </c>
      <c r="S7" s="5" t="s">
        <f t="shared" si="4"/>
        <v>24</v>
      </c>
    </row>
  </sheetData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D4"/>
  <sheetViews>
    <sheetView workbookViewId="0"/>
  </sheetViews>
  <sheetFormatPr defaultRowHeight="14.0" customHeight="1"/>
  <cols>
    <col min="1" max="1" width="13.24"/>
    <col min="2" max="2" width="13.24"/>
    <col min="3" max="3" width="13.24"/>
    <col min="4" max="4" width="13.24"/>
    <col min="5" max="18" width="13.24"/>
    <col min="19" max="19" width="13.24"/>
  </cols>
  <sheetData>
    <row r="1">
      <c r="A1" s="1"/>
      <c r="B1" s="1" t="s">
        <v>25</v>
      </c>
      <c r="C1" s="1" t="s">
        <v>26</v>
      </c>
      <c r="D1" s="1" t="s">
        <v>27</v>
      </c>
    </row>
    <row r="2">
      <c r="A2" t="s">
        <v>8</v>
      </c>
      <c r="C2" t="s">
        <v>28</v>
      </c>
      <c r="D2" t="s">
        <v>13</v>
      </c>
    </row>
    <row r="3">
      <c r="A3" t="s">
        <v>15</v>
      </c>
      <c r="B3" s="5">
        <f>COUNTIF('Sheet1'!$S:$S,"AX")</f>
        <v>1.0</v>
      </c>
      <c r="C3" t="s">
        <v>19</v>
      </c>
      <c r="D3" t="s">
        <v>29</v>
      </c>
    </row>
    <row r="4">
      <c r="A4" t="s">
        <v>21</v>
      </c>
      <c r="B4" s="5">
        <f>COUNTIF('Sheet1'!$S:$S,"AX")</f>
        <v>1.0</v>
      </c>
      <c r="C4" t="s">
        <v>30</v>
      </c>
      <c r="D4" t="s">
        <v>24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2026-04-28T14:12:18Z</dcterms:created>
</cp:coreProperties>
</file>