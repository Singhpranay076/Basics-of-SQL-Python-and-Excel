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eet3" sheetId="3" r:id="rId7"/>
  </sheets>
  <definedNames/>
  <calcPr/>
</workbook>
</file>

<file path=xl/sharedStrings.xml><?xml version="1.0" encoding="utf-8"?>
<sst xmlns="http://schemas.openxmlformats.org/spreadsheetml/2006/main" count="27" uniqueCount="26">
  <si>
    <t>Cell</t>
  </si>
  <si>
    <t>Content</t>
  </si>
  <si>
    <t>Value / Formula</t>
  </si>
  <si>
    <t>A1</t>
  </si>
  <si>
    <t>Service Level</t>
  </si>
  <si>
    <t>A2</t>
  </si>
  <si>
    <t>Z-Score</t>
  </si>
  <si>
    <t>A3</t>
  </si>
  <si>
    <t>Lead Time (days)</t>
  </si>
  <si>
    <t>Day</t>
  </si>
  <si>
    <t>SKU A (Low Var – T-shirts)</t>
  </si>
  <si>
    <t>SKU B (Med Var – Jeans)</t>
  </si>
  <si>
    <t>SKU C (High Var – Umbrellas)</t>
  </si>
  <si>
    <t>SKU</t>
  </si>
  <si>
    <t>Avg Daily Demand</t>
  </si>
  <si>
    <t>Std Dev (Variability)</t>
  </si>
  <si>
    <t>Lead Time</t>
  </si>
  <si>
    <t>Safety Stock</t>
  </si>
  <si>
    <t>Reorder Point</t>
  </si>
  <si>
    <t>Monthly Holding Cost (₹)</t>
  </si>
  <si>
    <t>SKU A (Low)</t>
  </si>
  <si>
    <t>SKU B (Medium)</t>
  </si>
  <si>
    <t>SKU C (High)</t>
  </si>
  <si>
    <t>Safety Stock = Z × σ_d × √LT</t>
  </si>
  <si>
    <t>Reorder Point = (Average Daily Demand × Lead Time) + Safety Stock</t>
  </si>
  <si>
    <t>Monthly Holding Cost : (assume ₹20 per unit per month)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</si>
</sst>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readingOrder="0"/>
    </xf>
    <xf borderId="0" fillId="0" fontId="2" numFmtId="4" xfId="0" applyFont="1" applyNumberFormat="1"/>
    <xf borderId="0" fillId="0" fontId="2" numFmtId="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88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3">
        <v>0.95</v>
      </c>
    </row>
    <row r="3">
      <c r="A3" s="2" t="s">
        <v>5</v>
      </c>
      <c r="B3" s="2" t="s">
        <v>6</v>
      </c>
      <c r="C3" s="4">
        <f>NORMSINV(C2)</f>
        <v>1.644853625</v>
      </c>
    </row>
    <row r="4">
      <c r="A4" s="2" t="s">
        <v>7</v>
      </c>
      <c r="B4" s="2" t="s">
        <v>8</v>
      </c>
      <c r="C4" s="2">
        <v>5.0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22.0"/>
    <col customWidth="1" min="3" max="3" width="20.75"/>
    <col customWidth="1" min="4" max="4" width="24.38"/>
  </cols>
  <sheetData>
    <row r="1">
      <c r="A1" s="1" t="s">
        <v>9</v>
      </c>
      <c r="B1" s="1" t="s">
        <v>10</v>
      </c>
      <c r="C1" s="1" t="s">
        <v>11</v>
      </c>
      <c r="D1" s="1" t="s">
        <v>12</v>
      </c>
    </row>
    <row r="2">
      <c r="A2" s="2">
        <v>1.0</v>
      </c>
      <c r="B2" s="2">
        <v>104.0</v>
      </c>
      <c r="C2" s="2">
        <v>84.0</v>
      </c>
      <c r="D2" s="2">
        <v>76.0</v>
      </c>
    </row>
    <row r="3">
      <c r="A3" s="2">
        <v>2.0</v>
      </c>
      <c r="B3" s="2">
        <v>98.0</v>
      </c>
      <c r="C3" s="2">
        <v>146.0</v>
      </c>
      <c r="D3" s="2">
        <v>90.0</v>
      </c>
    </row>
    <row r="4">
      <c r="A4" s="2">
        <v>3.0</v>
      </c>
      <c r="B4" s="2">
        <v>106.0</v>
      </c>
      <c r="C4" s="2">
        <v>99.0</v>
      </c>
      <c r="D4" s="2">
        <v>44.0</v>
      </c>
    </row>
    <row r="5">
      <c r="A5" s="2">
        <v>4.0</v>
      </c>
      <c r="B5" s="2">
        <v>115.0</v>
      </c>
      <c r="C5" s="2">
        <v>73.0</v>
      </c>
      <c r="D5" s="2">
        <v>40.0</v>
      </c>
    </row>
    <row r="6">
      <c r="A6" s="2">
        <v>5.0</v>
      </c>
      <c r="B6" s="2">
        <v>97.0</v>
      </c>
      <c r="C6" s="2">
        <v>120.0</v>
      </c>
      <c r="D6" s="2">
        <v>140.0</v>
      </c>
    </row>
    <row r="7">
      <c r="A7" s="2">
        <v>6.0</v>
      </c>
      <c r="B7" s="2">
        <v>97.0</v>
      </c>
      <c r="C7" s="2">
        <v>69.0</v>
      </c>
      <c r="D7" s="2">
        <v>167.0</v>
      </c>
    </row>
    <row r="8">
      <c r="A8" s="2">
        <v>7.0</v>
      </c>
      <c r="B8" s="2">
        <v>115.0</v>
      </c>
      <c r="C8" s="2">
        <v>105.0</v>
      </c>
      <c r="D8" s="2">
        <v>96.0</v>
      </c>
    </row>
    <row r="9">
      <c r="A9" s="2">
        <v>8.0</v>
      </c>
      <c r="B9" s="2">
        <v>107.0</v>
      </c>
      <c r="C9" s="2">
        <v>51.0</v>
      </c>
      <c r="D9" s="2">
        <v>150.0</v>
      </c>
    </row>
    <row r="10">
      <c r="A10" s="2">
        <v>9.0</v>
      </c>
      <c r="B10" s="2">
        <v>95.0</v>
      </c>
      <c r="C10" s="2">
        <v>66.0</v>
      </c>
      <c r="D10" s="2">
        <v>118.0</v>
      </c>
    </row>
    <row r="11">
      <c r="A11" s="2">
        <v>10.0</v>
      </c>
      <c r="B11" s="2">
        <v>105.0</v>
      </c>
      <c r="C11" s="2">
        <v>104.0</v>
      </c>
      <c r="D11" s="2">
        <v>67.0</v>
      </c>
    </row>
    <row r="12">
      <c r="A12" s="2">
        <v>11.0</v>
      </c>
      <c r="B12" s="2">
        <v>95.0</v>
      </c>
      <c r="C12" s="2">
        <v>118.0</v>
      </c>
      <c r="D12" s="2">
        <v>118.0</v>
      </c>
    </row>
    <row r="13">
      <c r="A13" s="2">
        <v>12.0</v>
      </c>
      <c r="B13" s="2">
        <v>95.0</v>
      </c>
      <c r="C13" s="2">
        <v>104.0</v>
      </c>
      <c r="D13" s="2">
        <v>176.0</v>
      </c>
    </row>
    <row r="14">
      <c r="A14" s="2">
        <v>13.0</v>
      </c>
      <c r="B14" s="2">
        <v>102.0</v>
      </c>
      <c r="C14" s="2">
        <v>97.0</v>
      </c>
      <c r="D14" s="2">
        <v>98.0</v>
      </c>
    </row>
    <row r="15">
      <c r="A15" s="2">
        <v>14.0</v>
      </c>
      <c r="B15" s="2">
        <v>80.0</v>
      </c>
      <c r="C15" s="2">
        <v>92.0</v>
      </c>
      <c r="D15" s="2">
        <v>178.0</v>
      </c>
    </row>
    <row r="16">
      <c r="A16" s="2">
        <v>15.0</v>
      </c>
      <c r="B16" s="2">
        <v>82.0</v>
      </c>
      <c r="C16" s="2">
        <v>63.0</v>
      </c>
      <c r="D16" s="2">
        <v>0.0</v>
      </c>
    </row>
    <row r="17">
      <c r="A17" s="2">
        <v>16.0</v>
      </c>
      <c r="B17" s="2">
        <v>94.0</v>
      </c>
      <c r="C17" s="2">
        <v>82.0</v>
      </c>
      <c r="D17" s="2">
        <v>141.0</v>
      </c>
    </row>
    <row r="18">
      <c r="A18" s="2">
        <v>17.0</v>
      </c>
      <c r="B18" s="2">
        <v>89.0</v>
      </c>
      <c r="C18" s="2">
        <v>88.0</v>
      </c>
      <c r="D18" s="2">
        <v>104.0</v>
      </c>
    </row>
    <row r="19">
      <c r="A19" s="2">
        <v>18.0</v>
      </c>
      <c r="B19" s="2">
        <v>103.0</v>
      </c>
      <c r="C19" s="2">
        <v>126.0</v>
      </c>
      <c r="D19" s="2">
        <v>85.0</v>
      </c>
    </row>
    <row r="20">
      <c r="A20" s="2">
        <v>19.0</v>
      </c>
      <c r="B20" s="2">
        <v>90.0</v>
      </c>
      <c r="C20" s="2">
        <v>108.0</v>
      </c>
      <c r="D20" s="2">
        <v>104.0</v>
      </c>
    </row>
    <row r="21">
      <c r="A21" s="2">
        <v>20.0</v>
      </c>
      <c r="B21" s="2">
        <v>85.0</v>
      </c>
      <c r="C21" s="2">
        <v>55.0</v>
      </c>
      <c r="D21" s="2">
        <v>0.0</v>
      </c>
    </row>
    <row r="22">
      <c r="A22" s="2">
        <v>21.0</v>
      </c>
      <c r="B22" s="2">
        <v>114.0</v>
      </c>
      <c r="C22" s="2">
        <v>108.0</v>
      </c>
      <c r="D22" s="2">
        <v>89.0</v>
      </c>
    </row>
    <row r="23">
      <c r="A23" s="2">
        <v>22.0</v>
      </c>
      <c r="B23" s="2">
        <v>97.0</v>
      </c>
      <c r="C23" s="2">
        <v>90.0</v>
      </c>
      <c r="D23" s="2">
        <v>117.0</v>
      </c>
    </row>
    <row r="24">
      <c r="A24" s="2">
        <v>23.0</v>
      </c>
      <c r="B24" s="2">
        <v>100.0</v>
      </c>
      <c r="C24" s="2">
        <v>83.0</v>
      </c>
      <c r="D24" s="2">
        <v>173.0</v>
      </c>
    </row>
    <row r="25">
      <c r="A25" s="2">
        <v>24.0</v>
      </c>
      <c r="B25" s="2">
        <v>85.0</v>
      </c>
      <c r="C25" s="2">
        <v>115.0</v>
      </c>
      <c r="D25" s="2">
        <v>74.0</v>
      </c>
    </row>
    <row r="26">
      <c r="A26" s="2">
        <v>25.0</v>
      </c>
      <c r="B26" s="2">
        <v>94.0</v>
      </c>
      <c r="C26" s="2">
        <v>125.0</v>
      </c>
      <c r="D26" s="2">
        <v>59.0</v>
      </c>
    </row>
    <row r="27">
      <c r="A27" s="2">
        <v>26.0</v>
      </c>
      <c r="B27" s="2">
        <v>101.0</v>
      </c>
      <c r="C27" s="2">
        <v>123.0</v>
      </c>
      <c r="D27" s="2">
        <v>74.0</v>
      </c>
    </row>
    <row r="28">
      <c r="A28" s="2">
        <v>27.0</v>
      </c>
      <c r="B28" s="2">
        <v>88.0</v>
      </c>
      <c r="C28" s="2">
        <v>79.0</v>
      </c>
      <c r="D28" s="2">
        <v>145.0</v>
      </c>
    </row>
    <row r="29">
      <c r="A29" s="2">
        <v>28.0</v>
      </c>
      <c r="B29" s="2">
        <v>103.0</v>
      </c>
      <c r="C29" s="2">
        <v>92.0</v>
      </c>
      <c r="D29" s="2">
        <v>116.0</v>
      </c>
    </row>
    <row r="30">
      <c r="A30" s="2">
        <v>29.0</v>
      </c>
      <c r="B30" s="2">
        <v>93.0</v>
      </c>
      <c r="C30" s="2">
        <v>108.0</v>
      </c>
      <c r="D30" s="2">
        <v>73.0</v>
      </c>
    </row>
    <row r="31">
      <c r="A31" s="2">
        <v>30.0</v>
      </c>
      <c r="B31" s="2">
        <v>97.0</v>
      </c>
      <c r="C31" s="2">
        <v>124.0</v>
      </c>
      <c r="D31" s="2">
        <v>125.0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5"/>
    <col customWidth="1" min="2" max="2" width="15.63"/>
    <col customWidth="1" min="3" max="3" width="16.63"/>
    <col customWidth="1" min="8" max="8" width="20.75"/>
  </cols>
  <sheetData>
    <row r="1">
      <c r="A1" s="1" t="s">
        <v>13</v>
      </c>
      <c r="B1" s="1" t="s">
        <v>14</v>
      </c>
      <c r="C1" s="1" t="s">
        <v>15</v>
      </c>
      <c r="D1" s="1" t="s">
        <v>16</v>
      </c>
      <c r="E1" s="1" t="s">
        <v>6</v>
      </c>
      <c r="F1" s="1" t="s">
        <v>17</v>
      </c>
      <c r="G1" s="1" t="s">
        <v>18</v>
      </c>
      <c r="H1" s="1" t="s">
        <v>19</v>
      </c>
    </row>
    <row r="2">
      <c r="A2" s="2" t="s">
        <v>20</v>
      </c>
      <c r="B2" s="5">
        <f>AVERAGE(Sheet2!B2:B31)</f>
        <v>97.53333333</v>
      </c>
      <c r="C2" s="5">
        <f>_xlfn.STDEV.S(Sheet2!B2:B31)</f>
        <v>9.073391691</v>
      </c>
      <c r="D2" s="2">
        <v>5.0</v>
      </c>
      <c r="E2" s="4">
        <f>Sheet1!$C$3</f>
        <v>1.644853625</v>
      </c>
      <c r="F2" s="5">
        <f t="shared" ref="F2:F4" si="1">E2*C2*SQRT(D2)</f>
        <v>33.37197564</v>
      </c>
      <c r="G2" s="5">
        <f t="shared" ref="G2:G4" si="2">(B2*D2)+F2</f>
        <v>521.0386423</v>
      </c>
      <c r="H2" s="5">
        <f t="shared" ref="H2:H4" si="3">F2*20</f>
        <v>667.4395128</v>
      </c>
    </row>
    <row r="3">
      <c r="A3" s="2" t="s">
        <v>21</v>
      </c>
      <c r="B3" s="5">
        <f>AVERAGE(Sheet2!C2:C31)</f>
        <v>96.56666667</v>
      </c>
      <c r="C3" s="5">
        <f>_xlfn.STDEV.S(Sheet2!C2:C31)</f>
        <v>23.26708988</v>
      </c>
      <c r="D3" s="2">
        <v>5.0</v>
      </c>
      <c r="E3" s="4">
        <f>Sheet1!$C$3</f>
        <v>1.644853625</v>
      </c>
      <c r="F3" s="5">
        <f t="shared" si="1"/>
        <v>85.5764617</v>
      </c>
      <c r="G3" s="5">
        <f t="shared" si="2"/>
        <v>568.409795</v>
      </c>
      <c r="H3" s="5">
        <f t="shared" si="3"/>
        <v>1711.529234</v>
      </c>
    </row>
    <row r="4">
      <c r="A4" s="2" t="s">
        <v>22</v>
      </c>
      <c r="B4" s="5">
        <f>AVERAGE(Sheet2!D2:D31)</f>
        <v>101.2333333</v>
      </c>
      <c r="C4" s="5">
        <f>_xlfn.STDEV.S(Sheet2!D2:D31)</f>
        <v>46.94728029</v>
      </c>
      <c r="D4" s="2">
        <v>5.0</v>
      </c>
      <c r="E4" s="4">
        <f>Sheet1!$C$3</f>
        <v>1.644853625</v>
      </c>
      <c r="F4" s="5">
        <f t="shared" si="1"/>
        <v>172.672309</v>
      </c>
      <c r="G4" s="5">
        <f t="shared" si="2"/>
        <v>678.8389757</v>
      </c>
      <c r="H4" s="5">
        <f t="shared" si="3"/>
        <v>3453.446181</v>
      </c>
    </row>
    <row r="13">
      <c r="E13" s="6" t="s">
        <v>23</v>
      </c>
    </row>
    <row r="14">
      <c r="E14" s="6" t="s">
        <v>24</v>
      </c>
    </row>
    <row r="15">
      <c r="E15" s="6" t="s">
        <v>25</v>
      </c>
    </row>
  </sheetData>
  <drawing r:id="rId1"/>
</worksheet>
</file>